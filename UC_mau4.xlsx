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MFG\TestHieuNangChucNang\UC_mau\"/>
    </mc:Choice>
  </mc:AlternateContent>
  <xr:revisionPtr revIDLastSave="0" documentId="8_{DEDA9B20-BA36-46C3-B422-21E89BB5DC36}" xr6:coauthVersionLast="47" xr6:coauthVersionMax="47" xr10:uidLastSave="{00000000-0000-0000-0000-000000000000}"/>
  <bookViews>
    <workbookView xWindow="7720" yWindow="2070" windowWidth="21110" windowHeight="15330" xr2:uid="{46A7C5E4-C48E-46E0-8D28-72B434B27CFD}"/>
  </bookViews>
  <sheets>
    <sheet name="1.Web" sheetId="1" r:id="rId1"/>
  </sheets>
  <externalReferences>
    <externalReference r:id="rId2"/>
  </externalReferences>
  <definedNames>
    <definedName name="_____h1" hidden="1">{"'Sheet1'!$L$16"}</definedName>
    <definedName name="____h1" hidden="1">{"'Sheet1'!$L$16"}</definedName>
    <definedName name="___a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ac1">#REF!</definedName>
    <definedName name="___bac2">#REF!</definedName>
    <definedName name="___CON1">#REF!</definedName>
    <definedName name="___CON2">#REF!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Goi8" hidden="1">{"'Sheet1'!$L$16"}</definedName>
    <definedName name="___h1" hidden="1">{"'Sheet1'!$L$16"}</definedName>
    <definedName name="___NET2">#REF!</definedName>
    <definedName name="___NPV11">#REF!</definedName>
    <definedName name="___NSO2" hidden="1">{"'Sheet1'!$L$16"}</definedName>
    <definedName name="___tp2">#REF!</definedName>
    <definedName name="___TV2" hidden="1">{"'Sheet1'!$L$16"}</definedName>
    <definedName name="___VT3" hidden="1">{"'Sheet1'!$L$16"}</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a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CON1">#REF!</definedName>
    <definedName name="__CON2">#REF!</definedName>
    <definedName name="__Goi8" hidden="1">{"'Sheet1'!$L$16"}</definedName>
    <definedName name="__h1" hidden="1">{"'Sheet1'!$L$16"}</definedName>
    <definedName name="__lap1">#REF!</definedName>
    <definedName name="__lap2">#REF!</definedName>
    <definedName name="__NET2">#REF!</definedName>
    <definedName name="__NSO2" hidden="1">{"'Sheet1'!$L$16"}</definedName>
    <definedName name="__TV2" hidden="1">{"'Sheet1'!$L$16"}</definedName>
    <definedName name="__VT3" hidden="1">{"'Sheet1'!$L$16"}</definedName>
    <definedName name="_0">#REF!</definedName>
    <definedName name="_1">#REF!</definedName>
    <definedName name="_1000A01">#REF!</definedName>
    <definedName name="_1HTML_Descrip_ion" hidden="1">""</definedName>
    <definedName name="_2">#REF!</definedName>
    <definedName name="_4HTML_Descrip_ion" hidden="1">""</definedName>
    <definedName name="_a">#REF!</definedName>
    <definedName name="_a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#REF!</definedName>
    <definedName name="_bac2">#REF!</definedName>
    <definedName name="_Bia111">#REF!</definedName>
    <definedName name="_boi1">#REF!</definedName>
    <definedName name="_boi2">#REF!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U10">#REF!</definedName>
    <definedName name="_CAU22">#REF!</definedName>
    <definedName name="_CAU7">#REF!</definedName>
    <definedName name="_CAU8">#REF!</definedName>
    <definedName name="_CAU9">#REF!</definedName>
    <definedName name="_chk1">#REF!</definedName>
    <definedName name="_chl3331">#REF!</definedName>
    <definedName name="_chl3334">#REF!</definedName>
    <definedName name="_coc250">#REF!</definedName>
    <definedName name="_coc300">#REF!</definedName>
    <definedName name="_coc35">#REF!</definedName>
    <definedName name="_coc350">#REF!</definedName>
    <definedName name="_CON1">#REF!</definedName>
    <definedName name="_CON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d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C10">#REF!</definedName>
    <definedName name="_DGC22">#REF!</definedName>
    <definedName name="_DGC7">#REF!</definedName>
    <definedName name="_DGC8">#REF!</definedName>
    <definedName name="_DGC9">#REF!</definedName>
    <definedName name="_dky3331">#REF!</definedName>
    <definedName name="_dky3334">#REF!</definedName>
    <definedName name="_Fill">#REF!</definedName>
    <definedName name="_xlnm._FilterDatabase" localSheetId="0" hidden="1">'1.Web'!$B$1:$J$599</definedName>
    <definedName name="_fin2">#REF!</definedName>
    <definedName name="_fin3">#REF!</definedName>
    <definedName name="_g1">#REF!</definedName>
    <definedName name="_g2">#REF!</definedName>
    <definedName name="_GIA1">#REF!</definedName>
    <definedName name="_Goi8" hidden="1">{"'Sheet1'!$L$16"}</definedName>
    <definedName name="_h1" hidden="1">{"'Sheet1'!$L$16"}</definedName>
    <definedName name="_H500866">#REF!</definedName>
    <definedName name="_Hlk213525272_1">#REF!</definedName>
    <definedName name="_hom2">#REF!</definedName>
    <definedName name="_hu1" hidden="1">{"'Sheet1'!$L$16"}</definedName>
    <definedName name="_hu2" hidden="1">{"'Sheet1'!$L$16"}</definedName>
    <definedName name="_hu5" hidden="1">{"'Sheet1'!$L$16"}</definedName>
    <definedName name="_hu6" hidden="1">{"'Sheet1'!$L$16"}</definedName>
    <definedName name="_hu7" hidden="1">{"'Sheet1'!$L$16"}</definedName>
    <definedName name="_Key1">#REF!</definedName>
    <definedName name="_Key2">#REF!</definedName>
    <definedName name="_kl1">#REF!</definedName>
    <definedName name="_KL2">#REF!</definedName>
    <definedName name="_KL3">#REF!</definedName>
    <definedName name="_KL4">#REF!</definedName>
    <definedName name="_KL5">#REF!</definedName>
    <definedName name="_KL6">#REF!</definedName>
    <definedName name="_KL7">#REF!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lap1">#REF!</definedName>
    <definedName name="_lap2">#REF!</definedName>
    <definedName name="_MAC12">#REF!</definedName>
    <definedName name="_MAC46">#REF!</definedName>
    <definedName name="_NC200">#REF!</definedName>
    <definedName name="_nc27">#REF!</definedName>
    <definedName name="_nc30">#REF!</definedName>
    <definedName name="_nc32">#REF!</definedName>
    <definedName name="_nc45">#REF!</definedName>
    <definedName name="_NCL100">#REF!</definedName>
    <definedName name="_NCL200">#REF!</definedName>
    <definedName name="_NCL250">#REF!</definedName>
    <definedName name="_NET2">#REF!</definedName>
    <definedName name="_net4">#REF!</definedName>
    <definedName name="_nin190">#REF!</definedName>
    <definedName name="_NPV11">#REF!</definedName>
    <definedName name="_NSO2" hidden="1">{"'Sheet1'!$L$16"}</definedName>
    <definedName name="_NYL19">#REF!</definedName>
    <definedName name="_Order1" hidden="1">255</definedName>
    <definedName name="_Order2" hidden="1">255</definedName>
    <definedName name="_p">#REF!</definedName>
    <definedName name="_Parse_Out" hidden="1">#REF!</definedName>
    <definedName name="_pc30">#REF!</definedName>
    <definedName name="_pc40">#REF!</definedName>
    <definedName name="_pd10" hidden="1">{"'Summary'!$A$1:$J$46"}</definedName>
    <definedName name="_pd101" hidden="1">{"'Summary'!$A$1:$J$46"}</definedName>
    <definedName name="_PD11" hidden="1">{"'Summary'!$A$1:$J$46"}</definedName>
    <definedName name="_Px1">#REF!</definedName>
    <definedName name="_Px2">#REF!</definedName>
    <definedName name="_Px3">#REF!</definedName>
    <definedName name="_R">#REF!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D30" hidden="1">{"'Summary'!$A$1:$J$46"}</definedName>
    <definedName name="_SN3">#REF!</definedName>
    <definedName name="_Sort">#REF!</definedName>
    <definedName name="_sORT2">#REF!</definedName>
    <definedName name="_SQT10">#REF!</definedName>
    <definedName name="_SQT8">#REF!</definedName>
    <definedName name="_SQT9">#REF!</definedName>
    <definedName name="_sua20">#REF!</definedName>
    <definedName name="_sua30">#REF!</definedName>
    <definedName name="_T10" hidden="1">{"'Sheet1'!$L$16"}</definedName>
    <definedName name="_TB1">#REF!</definedName>
    <definedName name="_tbn3334">#REF!</definedName>
    <definedName name="_TH20">#REF!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h10">#REF!</definedName>
    <definedName name="_tp2">#REF!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tt3" hidden="1">{"'Sheet1'!$L$16"}</definedName>
    <definedName name="_TV2" hidden="1">{"'Sheet1'!$L$16"}</definedName>
    <definedName name="_tz593">#REF!</definedName>
    <definedName name="_VAT1">#REF!</definedName>
    <definedName name="_VAT2">#REF!</definedName>
    <definedName name="_VL100">#REF!</definedName>
    <definedName name="_VL200">#REF!</definedName>
    <definedName name="_VL250">#REF!</definedName>
    <definedName name="_VT22">#REF!</definedName>
    <definedName name="_VT3" hidden="1">{"'Sheet1'!$L$16"}</definedName>
    <definedName name="_Vx1">#REF!</definedName>
    <definedName name="_Vx2">#REF!</definedName>
    <definedName name="_YL19">#REF!</definedName>
    <definedName name="_z">#REF!</definedName>
    <definedName name="A">#REF!</definedName>
    <definedName name="ằ" hidden="1">{"'Sheet1'!$L$16"}</definedName>
    <definedName name="A.">#REF!</definedName>
    <definedName name="a_">#REF!</definedName>
    <definedName name="A01_">#REF!</definedName>
    <definedName name="A01AC">#REF!</definedName>
    <definedName name="A01CAT">#REF!</definedName>
    <definedName name="A01CODE">#REF!</definedName>
    <definedName name="A01DATA">#REF!</definedName>
    <definedName name="A01MI">#REF!</definedName>
    <definedName name="A01TO">#REF!</definedName>
    <definedName name="a1.1">#REF!</definedName>
    <definedName name="A120_">#REF!</definedName>
    <definedName name="a1B26">#REF!</definedName>
    <definedName name="a1B58">#REF!</definedName>
    <definedName name="a277Print_Titles">#REF!</definedName>
    <definedName name="A35_">#REF!</definedName>
    <definedName name="A50_">#REF!</definedName>
    <definedName name="A5530NADISCOUNT">#REF!</definedName>
    <definedName name="A70_">#REF!</definedName>
    <definedName name="A95_">#REF!</definedName>
    <definedName name="AA">#REF!</definedName>
    <definedName name="AAA">#REF!</definedName>
    <definedName name="aAAA">#REF!</definedName>
    <definedName name="aasasas" hidden="1">{"'Sheet1'!$L$16"}</definedName>
    <definedName name="aavavavav" hidden="1">{#N/A,#N/A,FALSE,"Chi tiÆt"}</definedName>
    <definedName name="AB">#REF!</definedName>
    <definedName name="AC120_">#REF!</definedName>
    <definedName name="AC35_">#REF!</definedName>
    <definedName name="AC50_">#REF!</definedName>
    <definedName name="AC70_">#REF!</definedName>
    <definedName name="AC95_">#REF!</definedName>
    <definedName name="AccessDatabase" hidden="1">"C:\PROGRAM FILES\MICROSOFT OFFICE\OFFICE\xlstart\Book1.mdb"</definedName>
    <definedName name="Acell" hidden="1">INDIRECT(ADDRESS(ROW(),COLUMN()))</definedName>
    <definedName name="ActorList">#REF!</definedName>
    <definedName name="ADM_21E1">#REF!</definedName>
    <definedName name="ADM_63E1">#REF!</definedName>
    <definedName name="ADM_8E1">#REF!</definedName>
    <definedName name="aegwhg.gk" hidden="1">{"Offgrid",#N/A,FALSE,"OFFGRID";"Region",#N/A,FALSE,"REGION";"Offgrid -2",#N/A,FALSE,"OFFGRID";"WTP",#N/A,FALSE,"WTP";"WTP -2",#N/A,FALSE,"WTP";"Project",#N/A,FALSE,"PROJECT";"Summary -2",#N/A,FALSE,"SUMMARY"}</definedName>
    <definedName name="aetg.hgrs" hidden="1">{"Offgrid",#N/A,FALSE,"OFFGRID";"Region",#N/A,FALSE,"REGION";"Offgrid -2",#N/A,FALSE,"OFFGRID";"WTP",#N/A,FALSE,"WTP";"WTP -2",#N/A,FALSE,"WTP";"Project",#N/A,FALSE,"PROJECT";"Summary -2",#N/A,FALSE,"SUMMARY"}</definedName>
    <definedName name="âétggâgqgêágghe" hidden="1">{#N/A,#N/A,FALSE,"Chi tiÆt"}</definedName>
    <definedName name="âfA" hidden="1">{"'Sheet1'!$L$16"}</definedName>
    <definedName name="ăg" hidden="1">{"'Sheet1'!$L$16"}</definedName>
    <definedName name="Ag_">#REF!</definedName>
    <definedName name="ag15F80">#REF!</definedName>
    <definedName name="ẩgg" hidden="1">{"'Sheet1'!$L$16"}</definedName>
    <definedName name="ầgga" hidden="1">{"'Sheet1'!$L$16"}</definedName>
    <definedName name="aí6">#REF!</definedName>
    <definedName name="All_Item">#REF!</definedName>
    <definedName name="ALPIN">#REF!</definedName>
    <definedName name="ALPJYOU">#REF!</definedName>
    <definedName name="ALPTOI">#REF!</definedName>
    <definedName name="ANDOIFHihsngml">#REF!</definedName>
    <definedName name="anfa">#REF!</definedName>
    <definedName name="anscount" hidden="1">6</definedName>
    <definedName name="AOQ">#REF!</definedName>
    <definedName name="Aq">#REF!</definedName>
    <definedName name="As_">#REF!</definedName>
    <definedName name="AS2DocOpenMode" hidden="1">"AS2DocumentEdit"</definedName>
    <definedName name="asa" hidden="1">{"'Sheet1'!$L$16"}</definedName>
    <definedName name="asd">#REF!</definedName>
    <definedName name="avavgveqvaq" hidden="1">{"Offgrid",#N/A,FALSE,"OFFGRID";"Region",#N/A,FALSE,"REGION";"Offgrid -2",#N/A,FALSE,"OFFGRID";"WTP",#N/A,FALSE,"WTP";"WTP -2",#N/A,FALSE,"WTP";"Project",#N/A,FALSE,"PROJECT";"Summary -2",#N/A,FALSE,"SUMMARY"}</definedName>
    <definedName name="avl">#REF!</definedName>
    <definedName name="B">#REF!</definedName>
    <definedName name="b_dd1">#REF!</definedName>
    <definedName name="b_DL">#REF!</definedName>
    <definedName name="b_eh">#REF!</definedName>
    <definedName name="b_eh1">#REF!</definedName>
    <definedName name="b_ev">#REF!</definedName>
    <definedName name="b_ev1">#REF!</definedName>
    <definedName name="b_FR">#REF!</definedName>
    <definedName name="b_fr1">#REF!</definedName>
    <definedName name="B_Isc">#REF!</definedName>
    <definedName name="b_LL">#REF!</definedName>
    <definedName name="b_ll1">#REF!</definedName>
    <definedName name="b_WL">#REF!</definedName>
    <definedName name="b_WL1">#REF!</definedName>
    <definedName name="b_WS">#REF!</definedName>
    <definedName name="b_ws1">#REF!</definedName>
    <definedName name="ban">#REF!</definedName>
    <definedName name="BANG_CHI_TIET_THI_NGHIEM_CONG_TO">#REF!</definedName>
    <definedName name="BANG_CHI_TIET_THI_NGHIEM_DZ0.4KV">#REF!</definedName>
    <definedName name="Bang_cly">#REF!</definedName>
    <definedName name="Bang_CVC">#REF!</definedName>
    <definedName name="bang_gia">#REF!</definedName>
    <definedName name="BANG_TONG_HOP_CONG_TO">#REF!</definedName>
    <definedName name="BANG_TONG_HOP_DZ0.4KV">#REF!</definedName>
    <definedName name="BANG_TONG_HOP_DZ22KV">#REF!</definedName>
    <definedName name="BANG_TONG_HOP_KHO_BAI">#REF!</definedName>
    <definedName name="BANG_TONG_HOP_TBA">#REF!</definedName>
    <definedName name="Bang_travl">#REF!</definedName>
    <definedName name="bangcdtk">#REF!</definedName>
    <definedName name="BangGiaVL_Q">#REF!</definedName>
    <definedName name="BangMa">#REF!</definedName>
    <definedName name="bangtinh">#REF!</definedName>
    <definedName name="bangtk">#REF!</definedName>
    <definedName name="BarData">#REF!</definedName>
    <definedName name="BB">#REF!</definedName>
    <definedName name="bbanqt">#REF!</definedName>
    <definedName name="BBB">#REF!</definedName>
    <definedName name="BCD">#REF!</definedName>
    <definedName name="be_2T">#REF!</definedName>
    <definedName name="Bgiang" hidden="1">{"'Sheet1'!$L$16"}</definedName>
    <definedName name="bgincd">#REF!</definedName>
    <definedName name="BLDG">#REF!</definedName>
    <definedName name="BLDGIMP">#REF!</definedName>
    <definedName name="BLDGREV">#REF!</definedName>
    <definedName name="blkh">#REF!</definedName>
    <definedName name="blkh1">#REF!</definedName>
    <definedName name="BMBL">#REF!</definedName>
    <definedName name="BMH">#REF!</definedName>
    <definedName name="BML">#REF!</definedName>
    <definedName name="BMS">#REF!</definedName>
    <definedName name="BN">#REF!</definedName>
    <definedName name="bnc">#REF!</definedName>
    <definedName name="Bocdo">#REF!</definedName>
    <definedName name="BOM_ini">#REF!</definedName>
    <definedName name="Book2">#REF!</definedName>
    <definedName name="BOQ">#REF!</definedName>
    <definedName name="bt">#REF!</definedName>
    <definedName name="BT_125">#REF!</definedName>
    <definedName name="BT200_50">#REF!</definedName>
    <definedName name="btl" hidden="1">{"'Sheet1'!$L$16"}</definedName>
    <definedName name="BU_CHENH_LECH_DZ0.4KV">#REF!</definedName>
    <definedName name="BU_CHENH_LECH_DZ22KV">#REF!</definedName>
    <definedName name="BU_CHENH_LECH_TBA">#REF!</definedName>
    <definedName name="budget">#REF!</definedName>
    <definedName name="budget2">#REF!</definedName>
    <definedName name="buoc">#REF!</definedName>
    <definedName name="BVCISUMMARY">#REF!</definedName>
    <definedName name="bw">#REF!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a.1111">#REF!</definedName>
    <definedName name="ca.1111.th">#REF!</definedName>
    <definedName name="CABLEDISCOUNT">#REF!</definedName>
    <definedName name="cao">#REF!</definedName>
    <definedName name="cap">#N/A</definedName>
    <definedName name="cap0.7">#REF!</definedName>
    <definedName name="capt">#REF!</definedName>
    <definedName name="catden">#REF!</definedName>
    <definedName name="Category_All">#REF!</definedName>
    <definedName name="CATIN">#REF!</definedName>
    <definedName name="CATJYOU">#REF!</definedName>
    <definedName name="catmin">#REF!</definedName>
    <definedName name="CATREC">#REF!</definedName>
    <definedName name="CATSYU">#REF!</definedName>
    <definedName name="cauthang" hidden="1">{"'Sheet1'!$L$16"}</definedName>
    <definedName name="CB">#REF!</definedName>
    <definedName name="CC">#REF!</definedName>
    <definedName name="cch">#REF!</definedName>
    <definedName name="CCS">#REF!</definedName>
    <definedName name="CDD">#REF!</definedName>
    <definedName name="CDDD1PHA">#REF!</definedName>
    <definedName name="CDDD3PHA">#REF!</definedName>
    <definedName name="Cdo_8bat">#REF!</definedName>
    <definedName name="Cdo_TK50">#REF!</definedName>
    <definedName name="cfk">#REF!</definedName>
    <definedName name="CH">#REF!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_tieát_phi">#REF!</definedName>
    <definedName name="chitietbgiang2" hidden="1">{"'Sheet1'!$L$16"}</definedName>
    <definedName name="chitietdao">#REF!</definedName>
    <definedName name="chk">#REF!</definedName>
    <definedName name="chl" hidden="1">{"'Sheet1'!$L$16"}</definedName>
    <definedName name="chuyen" hidden="1">{"'Sheet1'!$L$16"}</definedName>
    <definedName name="CK">#REF!</definedName>
    <definedName name="CL">#REF!</definedName>
    <definedName name="clech">#REF!</definedName>
    <definedName name="CLECH_0.4">#REF!</definedName>
    <definedName name="CLVC35">#REF!</definedName>
    <definedName name="CLVCTB">#REF!</definedName>
    <definedName name="CLVL">#REF!</definedName>
    <definedName name="CN_RC1">#REF!</definedName>
    <definedName name="CN_RC2">#REF!</definedName>
    <definedName name="CN_Rnha">#REF!</definedName>
    <definedName name="CN_Rs">#REF!</definedName>
    <definedName name="Cneo_8bat">#REF!</definedName>
    <definedName name="Cneo_TK50">#REF!</definedName>
    <definedName name="COAT">#REF!</definedName>
    <definedName name="Cöï_ly_vaän_chuyeãn">#REF!</definedName>
    <definedName name="CÖÏ_LY_VAÄN_CHUYEÅN">#REF!</definedName>
    <definedName name="COMMON">#REF!</definedName>
    <definedName name="COMP">#REF!</definedName>
    <definedName name="CON_EQP_COS">#REF!</definedName>
    <definedName name="CON_EQP_COST">#REF!</definedName>
    <definedName name="cond_tarcb">#REF!</definedName>
    <definedName name="Cong_HM_DTCT">#REF!</definedName>
    <definedName name="Cong_M_DTCT">#REF!</definedName>
    <definedName name="Cong_NC_DTCT">#REF!</definedName>
    <definedName name="Cong_VL_DTCT">#REF!</definedName>
    <definedName name="CONST_EQ">#REF!</definedName>
    <definedName name="coso">#REF!</definedName>
    <definedName name="coso2">#REF!</definedName>
    <definedName name="coso3">#REF!</definedName>
    <definedName name="coso4">#REF!</definedName>
    <definedName name="coso5">#REF!</definedName>
    <definedName name="coso6">#REF!</definedName>
    <definedName name="coso7">#REF!</definedName>
    <definedName name="coso8">#REF!</definedName>
    <definedName name="coso9">#REF!</definedName>
    <definedName name="cot7.5">#REF!</definedName>
    <definedName name="cot8.5">#REF!</definedName>
    <definedName name="COVER">#REF!</definedName>
    <definedName name="cp0x4">#REF!</definedName>
    <definedName name="CPC">#REF!</definedName>
    <definedName name="CPCC">#REF!</definedName>
    <definedName name="CPCD">#REF!</definedName>
    <definedName name="CPDP">#REF!</definedName>
    <definedName name="CPK">#REF!</definedName>
    <definedName name="cpmtc">#REF!</definedName>
    <definedName name="cpnc">#REF!</definedName>
    <definedName name="CPQLDA">#REF!</definedName>
    <definedName name="CPTT">#REF!</definedName>
    <definedName name="CPTT_NO_TAX">#REF!</definedName>
    <definedName name="CPTVXDCT">#REF!</definedName>
    <definedName name="CPVC100">#REF!</definedName>
    <definedName name="CPVC35">#REF!</definedName>
    <definedName name="CPVCDN">#REF!</definedName>
    <definedName name="cpvl">#REF!</definedName>
    <definedName name="CQM">#REF!</definedName>
    <definedName name="CRD">#REF!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T">#REF!</definedName>
    <definedName name="CT_50">#REF!</definedName>
    <definedName name="CTCT1" hidden="1">{"'Sheet1'!$L$16"}</definedName>
    <definedName name="ctdn9697">#REF!</definedName>
    <definedName name="ctiep">#REF!</definedName>
    <definedName name="CTIET">#REF!</definedName>
    <definedName name="cto">#REF!</definedName>
    <definedName name="ctr">#REF!</definedName>
    <definedName name="cu">#REF!</definedName>
    <definedName name="cu_ly">#REF!</definedName>
    <definedName name="CU_LY_VAN_CHUYEN_GIA_QUYEN">#REF!</definedName>
    <definedName name="CU_LY_VAN_CHUYEN_THU_CONG">#REF!</definedName>
    <definedName name="cui">#REF!</definedName>
    <definedName name="CuLy">#REF!</definedName>
    <definedName name="CuLy_Q">#REF!</definedName>
    <definedName name="cuoc_vc">#REF!</definedName>
    <definedName name="CuocVC">#REF!</definedName>
    <definedName name="cuoinam">#REF!</definedName>
    <definedName name="CURRENCY">#REF!</definedName>
    <definedName name="Customer">#REF!</definedName>
    <definedName name="cutram">#REF!</definedName>
    <definedName name="CVC">#REF!</definedName>
    <definedName name="CVC_Q">#REF!</definedName>
    <definedName name="cvvv" hidden="1">{#N/A,#N/A,FALSE,"Chi tiÆt"}</definedName>
    <definedName name="CX">#REF!</definedName>
    <definedName name="cxm">#REF!</definedName>
    <definedName name="d">#REF!</definedName>
    <definedName name="d_" hidden="1">{"'Sheet1'!$L$16"}</definedName>
    <definedName name="D_7101A_B">#REF!</definedName>
    <definedName name="d05x1">#REF!</definedName>
    <definedName name="d1_">#REF!</definedName>
    <definedName name="d2_">#REF!</definedName>
    <definedName name="d3_">#REF!</definedName>
    <definedName name="d4x6">#REF!</definedName>
    <definedName name="da5x7">#REF!</definedName>
    <definedName name="dam_24">#REF!</definedName>
    <definedName name="DAMMONG" hidden="1">{"'Sheet1'!$L$16"}</definedName>
    <definedName name="DamNgang">#REF!</definedName>
    <definedName name="danop">#REF!</definedName>
    <definedName name="DAT">#REF!</definedName>
    <definedName name="data">#REF!</definedName>
    <definedName name="DATA_DATA2_List">#REF!</definedName>
    <definedName name="data1" hidden="1">#REF!</definedName>
    <definedName name="Data11">#REF!</definedName>
    <definedName name="data2" hidden="1">#REF!</definedName>
    <definedName name="data3" hidden="1">#REF!</definedName>
    <definedName name="Data41">#REF!</definedName>
    <definedName name="data8">#REF!</definedName>
    <definedName name="_xlnm.Database">#REF!</definedName>
    <definedName name="dauma">#REF!</definedName>
    <definedName name="ĐaunoiDien" hidden="1">{"'Sheet1'!$L$16"}</definedName>
    <definedName name="daymong">#REF!</definedName>
    <definedName name="DBGT">#REF!</definedName>
    <definedName name="dbt">#REF!</definedName>
    <definedName name="dch511a">#REF!</definedName>
    <definedName name="dch511b">#REF!</definedName>
    <definedName name="dch632a">#REF!</definedName>
    <definedName name="dch632b">#REF!</definedName>
    <definedName name="dchcn">#REF!</definedName>
    <definedName name="dchm">#REF!</definedName>
    <definedName name="dCuocVC_Bachang" hidden="1">#REF!</definedName>
    <definedName name="DD">#REF!</definedName>
    <definedName name="DDAY">#REF!</definedName>
    <definedName name="ddd" hidden="1">{"'Sheet1'!$L$16"}</definedName>
    <definedName name="de">#REF!</definedName>
    <definedName name="den_bu">#REF!</definedName>
    <definedName name="denbu">#REF!</definedName>
    <definedName name="Det32x3">#REF!</definedName>
    <definedName name="Det35x3">#REF!</definedName>
    <definedName name="Det40x4">#REF!</definedName>
    <definedName name="Det50x5">#REF!</definedName>
    <definedName name="Det63x6">#REF!</definedName>
    <definedName name="Det75x6">#REF!</definedName>
    <definedName name="df">#REF!</definedName>
    <definedName name="đfbgdgă" hidden="1">{"Offgrid",#N/A,FALSE,"OFFGRID";"Region",#N/A,FALSE,"REGION";"Offgrid -2",#N/A,FALSE,"OFFGRID";"WTP",#N/A,FALSE,"WTP";"WTP -2",#N/A,FALSE,"WTP";"Project",#N/A,FALSE,"PROJECT";"Summary -2",#N/A,FALSE,"SUMMARY"}</definedName>
    <definedName name="DFG">#REF!</definedName>
    <definedName name="dfgd" hidden="1">{"'Sheet1'!$L$16"}</definedName>
    <definedName name="đfnfndfn" hidden="1">{#N/A,#N/A,FALSE,"Chi tiÆt"}</definedName>
    <definedName name="dg">#REF!</definedName>
    <definedName name="dg_5cau">#REF!</definedName>
    <definedName name="dgbdII">#REF!</definedName>
    <definedName name="dgc">#REF!</definedName>
    <definedName name="dgct">#REF!</definedName>
    <definedName name="DGCT_T.Quy_P.Thuy_Q">#REF!</definedName>
    <definedName name="DGCT_TRAUQUYPHUTHUY_HN">#REF!</definedName>
    <definedName name="DGCTI592">#REF!</definedName>
    <definedName name="dgd">#REF!</definedName>
    <definedName name="DGIA">#REF!</definedName>
    <definedName name="DGKL" hidden="1">#REF!</definedName>
    <definedName name="dgnc">#REF!</definedName>
    <definedName name="dgqndn">#REF!</definedName>
    <definedName name="DGR">#REF!</definedName>
    <definedName name="dgth">#REF!</definedName>
    <definedName name="dgthss3">#REF!</definedName>
    <definedName name="DGTV">#REF!</definedName>
    <definedName name="dgvl">#REF!</definedName>
    <definedName name="DGVLNC">#REF!</definedName>
    <definedName name="đhf" hidden="1">{"'Sheet1'!$L$16"}</definedName>
    <definedName name="dhom">#REF!</definedName>
    <definedName name="dhtdh" hidden="1">{"Offgrid",#N/A,FALSE,"OFFGRID";"Region",#N/A,FALSE,"REGION";"Offgrid -2",#N/A,FALSE,"OFFGRID";"WTP",#N/A,FALSE,"WTP";"WTP -2",#N/A,FALSE,"WTP";"Project",#N/A,FALSE,"PROJECT";"Summary -2",#N/A,FALSE,"SUMMARY"}</definedName>
    <definedName name="DICH11">#REF!</definedName>
    <definedName name="dich22">#REF!</definedName>
    <definedName name="Dien">#REF!</definedName>
    <definedName name="diengiai">#REF!</definedName>
    <definedName name="dim">#REF!</definedName>
    <definedName name="dinh2">#REF!</definedName>
    <definedName name="dinhmong">#REF!</definedName>
    <definedName name="dinhmu">#REF!</definedName>
    <definedName name="dinhmuc">#REF!</definedName>
    <definedName name="Discount" hidden="1">#REF!</definedName>
    <definedName name="display_area_2" hidden="1">#REF!</definedName>
    <definedName name="dk">#REF!</definedName>
    <definedName name="dkincd">#REF!</definedName>
    <definedName name="dkythue">#REF!</definedName>
    <definedName name="DLCC">#REF!</definedName>
    <definedName name="DM">#REF!</definedName>
    <definedName name="dm56bxd">#REF!</definedName>
    <definedName name="DMGT">#REF!</definedName>
    <definedName name="DMTL">#REF!</definedName>
    <definedName name="DÑt45x4">#REF!</definedName>
    <definedName name="dobt">#REF!</definedName>
    <definedName name="doc" hidden="1">{"'Sheet1'!$L$16"}</definedName>
    <definedName name="Document_array">{"THDB-01-02  05SUALAILAN4.xls","Sheet1"}</definedName>
    <definedName name="Documents_array">#REF!</definedName>
    <definedName name="DÖÏ_THAÀU">#REF!</definedName>
    <definedName name="DON_GIA_3282">#REF!</definedName>
    <definedName name="DON_GIA_3283">#REF!</definedName>
    <definedName name="DON_GIA_3285">#REF!</definedName>
    <definedName name="DON_GIA_VAN_CHUYEN_36">#REF!</definedName>
    <definedName name="DONGIA2">#REF!</definedName>
    <definedName name="dQlda_BuocTKRng" hidden="1">#REF!</definedName>
    <definedName name="dQlda_BuocTKSel" hidden="1">MATCH(#REF!,dQlda_BuocTKRng,0)</definedName>
    <definedName name="dQlda_CapCtRng" hidden="1">#REF!</definedName>
    <definedName name="dQlda_CapCtSel" hidden="1">MATCH(#REF!,dQlda_CapCtRng,0)</definedName>
    <definedName name="dQlda_GcpkVal" hidden="1">#REF!/10^9</definedName>
    <definedName name="dQlda_GdpVal" hidden="1">10%*(dQlda_GxlGtbVal+dQlda_GcpkVal)/10^9</definedName>
    <definedName name="dQlda_GtbVal" hidden="1">#REF!/10^9</definedName>
    <definedName name="dQlda_GtongVal" hidden="1">dQlda_GxlGtbVal+dQlda_GcpkVal+10%*(dQlda_GxlGtbVal+dQlda_GcpkVal)</definedName>
    <definedName name="dQlda_GxlGtbVal" hidden="1">dQlda_GxlVal+dQlda_GtbVal</definedName>
    <definedName name="dQlda_GxlVal" hidden="1">#REF!/10^9</definedName>
    <definedName name="dQlda_LoaiCtRng" hidden="1">#REF!</definedName>
    <definedName name="dQlda_LoaiCtSel" hidden="1">MATCH(#REF!,dQlda_LoaiCtRng,0)</definedName>
    <definedName name="dr">#REF!</definedName>
    <definedName name="Drop2">#REF!</definedName>
    <definedName name="Drop3">#REF!</definedName>
    <definedName name="drop4">#REF!</definedName>
    <definedName name="Ds">#REF!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A">{"Thuxm2.xls","Sheet1"}</definedName>
    <definedName name="dsct3pnc">#REF!</definedName>
    <definedName name="dsct3pvl">#REF!</definedName>
    <definedName name="dsgsw.sgrs.grsg_.sg" hidden="1">{#N/A,#N/A,FALSE,"Chi tiÆt"}</definedName>
    <definedName name="DSPK1p1nc">#REF!</definedName>
    <definedName name="DSPK1p1vl">#REF!</definedName>
    <definedName name="DSPK1pnc">#REF!</definedName>
    <definedName name="DSPK1pvl">#REF!</definedName>
    <definedName name="DSUMDATA">#REF!</definedName>
    <definedName name="dt">#REF!</definedName>
    <definedName name="Dt_">#REF!</definedName>
    <definedName name="dtc">#REF!</definedName>
    <definedName name="DTG">#REF!</definedName>
    <definedName name="dTHKP_Rng" hidden="1">#REF!</definedName>
    <definedName name="dtoan">#REF!</definedName>
    <definedName name="DTTK" hidden="1">{"'Sheet1'!$L$16"}</definedName>
    <definedName name="DU_TOAN_CHI_TIET_CONG_TO">#REF!</definedName>
    <definedName name="DU_TOAN_CHI_TIET_DZ22KV">#REF!</definedName>
    <definedName name="DU_TOAN_CHI_TIET_KHO_BAI">#REF!</definedName>
    <definedName name="duong04">#REF!</definedName>
    <definedName name="duong35">#REF!</definedName>
    <definedName name="DutoanDongmo">#REF!</definedName>
    <definedName name="DVTMai">#REF!</definedName>
    <definedName name="DWPRICE" hidden="1">#REF!</definedName>
    <definedName name="ẺB">#REF!</definedName>
    <definedName name="ed" hidden="1">{"'Sheet1'!$L$16"}</definedName>
    <definedName name="EEPE" hidden="1">{"'Summary'!$A$1:$J$46"}</definedName>
    <definedName name="EEQ" hidden="1">{"'Summary'!$A$1:$J$46"}</definedName>
    <definedName name="egw" hidden="1">{"Offgrid",#N/A,FALSE,"OFFGRID";"Region",#N/A,FALSE,"REGION";"Offgrid -2",#N/A,FALSE,"OFFGRID";"WTP",#N/A,FALSE,"WTP";"WTP -2",#N/A,FALSE,"WTP";"Project",#N/A,FALSE,"PROJECT";"Summary -2",#N/A,FALSE,"SUMMARY"}</definedName>
    <definedName name="eheh" hidden="1">{"Offgrid",#N/A,FALSE,"OFFGRID";"Region",#N/A,FALSE,"REGION";"Offgrid -2",#N/A,FALSE,"OFFGRID";"WTP",#N/A,FALSE,"WTP";"WTP -2",#N/A,FALSE,"WTP";"Project",#N/A,FALSE,"PROJECT";"Summary -2",#N/A,FALSE,"SUMMARY"}</definedName>
    <definedName name="eÎ">#REF!</definedName>
    <definedName name="EIRR11">#REF!</definedName>
    <definedName name="EIRR22">#REF!</definedName>
    <definedName name="emb">#REF!</definedName>
    <definedName name="EMECO">#REF!</definedName>
    <definedName name="EmpList">#REF!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QƯEWQ">#REF!</definedName>
    <definedName name="esgtew" hidden="1">{#N/A,#N/A,FALSE,"Chi tiÆt"}</definedName>
    <definedName name="ETC">#REF!</definedName>
    <definedName name="etethtehbdex" hidden="1">{#N/A,#N/A,FALSE,"Chi tiÆt"}</definedName>
    <definedName name="êthtêt" hidden="1">{"Offgrid",#N/A,FALSE,"OFFGRID";"Region",#N/A,FALSE,"REGION";"Offgrid -2",#N/A,FALSE,"OFFGRID";"WTP",#N/A,FALSE,"WTP";"WTP -2",#N/A,FALSE,"WTP";"Project",#N/A,FALSE,"PROJECT";"Summary -2",#N/A,FALSE,"SUMMARY"}</definedName>
    <definedName name="etqgsg_đhs" hidden="1">{"'Sheet1'!$L$16"}</definedName>
    <definedName name="etrw45.đ" hidden="1">{"Offgrid",#N/A,FALSE,"OFFGRID";"Region",#N/A,FALSE,"REGION";"Offgrid -2",#N/A,FALSE,"OFFGRID";"WTP",#N/A,FALSE,"WTP";"WTP -2",#N/A,FALSE,"WTP";"Project",#N/A,FALSE,"PROJECT";"Summary -2",#N/A,FALSE,"SUMMARY"}</definedName>
    <definedName name="EW" hidden="1">{"'Summary'!$A$1:$J$46"}</definedName>
    <definedName name="EX">#REF!</definedName>
    <definedName name="EXC">#REF!</definedName>
    <definedName name="EXCH">#REF!</definedName>
    <definedName name="ey">#REF!</definedName>
    <definedName name="eygswgq" hidden="1">{#N/A,#N/A,FALSE,"Chi tiÆt"}</definedName>
    <definedName name="êyh" hidden="1">{"Offgrid",#N/A,FALSE,"OFFGRID";"Region",#N/A,FALSE,"REGION";"Offgrid -2",#N/A,FALSE,"OFFGRID";"WTP",#N/A,FALSE,"WTP";"WTP -2",#N/A,FALSE,"WTP";"Project",#N/A,FALSE,"PROJECT";"Summary -2",#N/A,FALSE,"SUMMARY"}</definedName>
    <definedName name="f82E46">#REF!</definedName>
    <definedName name="FACTOR">#REF!</definedName>
    <definedName name="Fax">#REF!</definedName>
    <definedName name="Fay">#REF!</definedName>
    <definedName name="fc">#REF!</definedName>
    <definedName name="fc_">#REF!</definedName>
    <definedName name="fcoc">#REF!</definedName>
    <definedName name="FCode" hidden="1">#REF!</definedName>
    <definedName name="fd" hidden="1">#REF!</definedName>
    <definedName name="fdf" hidden="1">{"'Sheet1'!$L$16"}</definedName>
    <definedName name="fđhbfbd" hidden="1">{#N/A,#N/A,FALSE,"Chi tiÆt"}</definedName>
    <definedName name="fđhh" hidden="1">{"'Sheet1'!$L$16"}</definedName>
    <definedName name="FF">#REF!</definedName>
    <definedName name="fg" hidden="1">{"'Sheet1'!$L$16"}</definedName>
    <definedName name="fgkjmgky.yulyu." hidden="1">{"Offgrid",#N/A,FALSE,"OFFGRID";"Region",#N/A,FALSE,"REGION";"Offgrid -2",#N/A,FALSE,"OFFGRID";"WTP",#N/A,FALSE,"WTP";"WTP -2",#N/A,FALSE,"WTP";"Project",#N/A,FALSE,"PROJECT";"Summary -2",#N/A,FALSE,"SUMMARY"}</definedName>
    <definedName name="fhtđhêhd" hidden="1">{"Offgrid",#N/A,FALSE,"OFFGRID";"Region",#N/A,FALSE,"REGION";"Offgrid -2",#N/A,FALSE,"OFFGRID";"WTP",#N/A,FALSE,"WTP";"WTP -2",#N/A,FALSE,"WTP";"Project",#N/A,FALSE,"PROJECT";"Summary -2",#N/A,FALSE,"SUMMARY"}</definedName>
    <definedName name="Fi">#REF!</definedName>
    <definedName name="Fi_f">#REF!</definedName>
    <definedName name="fila_name">#REF!</definedName>
    <definedName name="fila_NM_RTU">#REF!</definedName>
    <definedName name="fin_BOM">#REF!</definedName>
    <definedName name="fjh">#REF!</definedName>
    <definedName name="FORK">#REF!</definedName>
    <definedName name="Fot">#REF!</definedName>
    <definedName name="FP">#REF!</definedName>
    <definedName name="Fr">#REF!</definedName>
    <definedName name="FS">#REF!</definedName>
    <definedName name="fsdf" hidden="1">{"'Sheet1'!$L$16"}</definedName>
    <definedName name="FSDGSGS">#REF!</definedName>
    <definedName name="Ft">#REF!</definedName>
    <definedName name="Ft_">#REF!</definedName>
    <definedName name="FtoM">#REF!</definedName>
    <definedName name="fy">#REF!</definedName>
    <definedName name="Fy_">#REF!</definedName>
    <definedName name="g_">#REF!</definedName>
    <definedName name="gachchongtron">#REF!</definedName>
    <definedName name="gachlanem">#REF!</definedName>
    <definedName name="gamatc">#REF!</definedName>
    <definedName name="GC_DN">#REF!</definedName>
    <definedName name="GC_HT">#REF!</definedName>
    <definedName name="GC_TD">#REF!</definedName>
    <definedName name="gcHT">#REF!</definedName>
    <definedName name="gd">#REF!</definedName>
    <definedName name="GDS" hidden="1">{"'Sheet1'!$L$16"}</definedName>
    <definedName name="geff">#REF!</definedName>
    <definedName name="geo">#REF!</definedName>
    <definedName name="GG">#REF!</definedName>
    <definedName name="ggaq" hidden="1">{"Offgrid",#N/A,FALSE,"OFFGRID";"Region",#N/A,FALSE,"REGION";"Offgrid -2",#N/A,FALSE,"OFFGRID";"WTP",#N/A,FALSE,"WTP";"WTP -2",#N/A,FALSE,"WTP";"Project",#N/A,FALSE,"PROJECT";"Summary -2",#N/A,FALSE,"SUMMARY"}</definedName>
    <definedName name="ghip">#REF!</definedName>
    <definedName name="GIA">#REF!</definedName>
    <definedName name="Gia_CT">#REF!</definedName>
    <definedName name="GIA_CU_LY_VAN_CHUYEN">#REF!</definedName>
    <definedName name="Gia_hang_hoa">#REF!</definedName>
    <definedName name="GIA_THANH_VAN_CHUYEN_1M3_BE_TONG">#REF!</definedName>
    <definedName name="gia_tien">#REF!</definedName>
    <definedName name="gia_tien_BTN">#REF!</definedName>
    <definedName name="Gia_tri_Thue_VAT">#REF!</definedName>
    <definedName name="Gia_VT">#REF!</definedName>
    <definedName name="GIAC">#REF!</definedName>
    <definedName name="giadc">#REF!</definedName>
    <definedName name="GIADCST">#REF!</definedName>
    <definedName name="giam3331">#REF!</definedName>
    <definedName name="GIAVL_TRALY">#REF!</definedName>
    <definedName name="GIAVLIEUTN">#REF!</definedName>
    <definedName name="giotuoi">#REF!</definedName>
    <definedName name="gjrđjsjs" hidden="1">{"'Sheet1'!$L$16"}</definedName>
    <definedName name="gl3p">#REF!</definedName>
    <definedName name="go">#REF!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i">#REF!</definedName>
    <definedName name="goiduyet" hidden="1">{#N/A,#N/A,FALSE,"Chi tiÆt"}</definedName>
    <definedName name="gs">#REF!</definedName>
    <definedName name="Gt">#REF!</definedName>
    <definedName name="GTB">#REF!</definedName>
    <definedName name="gteyhưez" hidden="1">{"'Sheet1'!$L$16"}</definedName>
    <definedName name="GTRI">#REF!</definedName>
    <definedName name="gtst">#REF!</definedName>
    <definedName name="GTXL">#REF!</definedName>
    <definedName name="GƯD" hidden="1">{"'Sheet1'!$L$16"}</definedName>
    <definedName name="gvk">#REF!</definedName>
    <definedName name="GVL_LDT">#REF!</definedName>
    <definedName name="gwf" hidden="1">{#N/A,#N/A,FALSE,"Chi tiÆt"}</definedName>
    <definedName name="GXD">#REF!</definedName>
    <definedName name="gyu" hidden="1">{#N/A,#N/A,FALSE,"Chi tiÆt"}</definedName>
    <definedName name="h">#REF!</definedName>
    <definedName name="H_30">#REF!</definedName>
    <definedName name="H_ng_mòc_cáng_trÖnh">#REF!</definedName>
    <definedName name="H_THUCHTHH">#REF!</definedName>
    <definedName name="H_THUCTT">#REF!</definedName>
    <definedName name="Ha">#REF!</definedName>
    <definedName name="ham" hidden="1">{"'Sheet1'!$L$16"}</definedName>
    <definedName name="Hanoi">#REF!</definedName>
    <definedName name="hc">#REF!</definedName>
    <definedName name="HCM">#REF!</definedName>
    <definedName name="HCNA" hidden="1">{"'Sheet1'!$L$16"}</definedName>
    <definedName name="hd">#REF!</definedName>
    <definedName name="hdd">#REF!</definedName>
    <definedName name="hdn">#REF!</definedName>
    <definedName name="He_so">#REF!</definedName>
    <definedName name="HE_SO_KHO_KHAN_CANG_DAY">#REF!</definedName>
    <definedName name="heä_soá_sình_laày">#REF!</definedName>
    <definedName name="heđbe" hidden="1">{"Offgrid",#N/A,FALSE,"OFFGRID";"Region",#N/A,FALSE,"REGION";"Offgrid -2",#N/A,FALSE,"OFFGRID";"WTP",#N/A,FALSE,"WTP";"WTP -2",#N/A,FALSE,"WTP";"Project",#N/A,FALSE,"PROJECT";"Summary -2",#N/A,FALSE,"SUMMARY"}</definedName>
    <definedName name="hee_opjg" hidden="1">{"'Sheet1'!$L$16"}</definedName>
    <definedName name="hel" hidden="1">{"'Sheet1'!$L$16"}</definedName>
    <definedName name="hẻy" hidden="1">{"'Sheet1'!$L$16"}</definedName>
    <definedName name="hgadgag" hidden="1">{"Offgrid",#N/A,FALSE,"OFFGRID";"Region",#N/A,FALSE,"REGION";"Offgrid -2",#N/A,FALSE,"OFFGRID";"WTP",#N/A,FALSE,"WTP";"WTP -2",#N/A,FALSE,"WTP";"Project",#N/A,FALSE,"PROJECT";"Summary -2",#N/A,FALSE,"SUMMARY"}</definedName>
    <definedName name="hgre_zdfhgfd" hidden="1">{"'Sheet1'!$L$16"}</definedName>
    <definedName name="HH">#REF!</definedName>
    <definedName name="HHcat">#REF!</definedName>
    <definedName name="hhcv">#REF!</definedName>
    <definedName name="HHda">#REF!</definedName>
    <definedName name="hhda4x6">#REF!</definedName>
    <definedName name="hhhh">#REF!</definedName>
    <definedName name="hhhthrh" hidden="1">{#N/A,#N/A,FALSE,"Chi tiÆt"}</definedName>
    <definedName name="hhsc">#REF!</definedName>
    <definedName name="hhtd">#REF!</definedName>
    <definedName name="HHTT">#REF!</definedName>
    <definedName name="HHxm">#REF!</definedName>
    <definedName name="HiddenRows" hidden="1">#REF!</definedName>
    <definedName name="hien">#REF!</definedName>
    <definedName name="Hinh_thuc">#REF!</definedName>
    <definedName name="hm">#REF!</definedName>
    <definedName name="Hmong">#REF!</definedName>
    <definedName name="HMVLNCM">#REF!</definedName>
    <definedName name="ho">#REF!</definedName>
    <definedName name="hoida">#REF!</definedName>
    <definedName name="hoigio">#REF!</definedName>
    <definedName name="HOME_MANP">#REF!</definedName>
    <definedName name="HOMEOFFICE_COST">#REF!</definedName>
    <definedName name="Hp">#REF!</definedName>
    <definedName name="HPCAU10">#REF!</definedName>
    <definedName name="HPCAU22">#REF!</definedName>
    <definedName name="HPCAU7">#REF!</definedName>
    <definedName name="HPCAU8">#REF!</definedName>
    <definedName name="HPCAU9">#REF!</definedName>
    <definedName name="HPKHAC">#REF!</definedName>
    <definedName name="hrhe" hidden="1">{"Offgrid",#N/A,FALSE,"OFFGRID";"Region",#N/A,FALSE,"REGION";"Offgrid -2",#N/A,FALSE,"OFFGRID";"WTP",#N/A,FALSE,"WTP";"WTP -2",#N/A,FALSE,"WTP";"Project",#N/A,FALSE,"PROJECT";"Summary -2",#N/A,FALSE,"SUMMARY"}</definedName>
    <definedName name="HS">#REF!</definedName>
    <definedName name="HS_may">#REF!</definedName>
    <definedName name="Hsc">#REF!</definedName>
    <definedName name="hscpc">#REF!</definedName>
    <definedName name="HSCPCC">#REF!</definedName>
    <definedName name="hscpcd">#REF!</definedName>
    <definedName name="hscq">#REF!</definedName>
    <definedName name="HSDBGT">#REF!</definedName>
    <definedName name="hsdc1">#REF!</definedName>
    <definedName name="hsgbhtgrư" hidden="1">{#N/A,#N/A,FALSE,"Chi tiÆt"}</definedName>
    <definedName name="HSHH">#REF!</definedName>
    <definedName name="HSHHUT">#REF!</definedName>
    <definedName name="hsk">#REF!</definedName>
    <definedName name="HSKK35">#REF!</definedName>
    <definedName name="HSKT">#REF!</definedName>
    <definedName name="hskt1">#REF!</definedName>
    <definedName name="hskt2">#REF!</definedName>
    <definedName name="HSKTST">#REF!</definedName>
    <definedName name="HSLT">#REF!</definedName>
    <definedName name="HSLX">#REF!</definedName>
    <definedName name="HSLXP">#REF!</definedName>
    <definedName name="hsn">#REF!</definedName>
    <definedName name="hsncd">#REF!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xm">#REF!</definedName>
    <definedName name="ht" hidden="1">{"'Sheet1'!$L$16"}</definedName>
    <definedName name="HTHH">#REF!</definedName>
    <definedName name="htjhtjftj" hidden="1">{#N/A,#N/A,FALSE,"Chi tiÆt"}</definedName>
    <definedName name="htlm" hidden="1">{"'Sheet1'!$L$16"}</definedName>
    <definedName name="htm"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#REF!</definedName>
    <definedName name="htriu4" hidden="1">{#N/A,#N/A,FALSE,"Chi tiÆt"}</definedName>
    <definedName name="htu" hidden="1">{"'Sheet1'!$L$16"}</definedName>
    <definedName name="HTVL">#REF!</definedName>
    <definedName name="hung">#REF!</definedName>
    <definedName name="huy" hidden="1">{"'Sheet1'!$L$16"}</definedName>
    <definedName name="HWDISCOUNT">#REF!</definedName>
    <definedName name="I">#REF!</definedName>
    <definedName name="IDLAB_COST">#REF!</definedName>
    <definedName name="IND_LAB">#REF!</definedName>
    <definedName name="INDMANP">#REF!</definedName>
    <definedName name="ini_BOM">#REF!</definedName>
    <definedName name="inst_ini">#REF!</definedName>
    <definedName name="IO">#REF!</definedName>
    <definedName name="ioo">#REF!</definedName>
    <definedName name="Ip">#REF!</definedName>
    <definedName name="ịth" hidden="1">{"'Sheet1'!$L$16"}</definedName>
    <definedName name="ixy">#REF!</definedName>
    <definedName name="j">#REF!</definedName>
    <definedName name="j356C8">#REF!</definedName>
    <definedName name="jýỵy" hidden="1">{"'Sheet1'!$L$16"}</definedName>
    <definedName name="K">#REF!</definedName>
    <definedName name="KAE">#REF!</definedName>
    <definedName name="KAS">#REF!</definedName>
    <definedName name="kb">#REF!</definedName>
    <definedName name="kcong">#REF!</definedName>
    <definedName name="kdkk" hidden="1">{"'Sheet1'!$L$16"}</definedName>
    <definedName name="KE_HOACH_VON_PHU_THU">#REF!</definedName>
    <definedName name="KeBve">#REF!</definedName>
    <definedName name="kem">#REF!</definedName>
    <definedName name="kh">#REF!</definedName>
    <definedName name="KH_Chang">#REF!</definedName>
    <definedName name="Khâi">#REF!</definedName>
    <definedName name="khecodan">#REF!</definedName>
    <definedName name="khoas" hidden="1">{"'Sheet1'!$L$16"}</definedName>
    <definedName name="KHOI_LUONG_DAT_DAO_DAP">#REF!</definedName>
    <definedName name="KHOILUONG">#REF!</definedName>
    <definedName name="kiem">#REF!</definedName>
    <definedName name="Kiem_tra_trung_ten">#REF!</definedName>
    <definedName name="KINH_PHI_DEN_BU">#REF!</definedName>
    <definedName name="KINH_PHI_DZ0.4KV">#REF!</definedName>
    <definedName name="KINH_PHI_KHAO_SAT__LAP_BCNCKT__TKKTTC">#REF!</definedName>
    <definedName name="KINH_PHI_KHO_BAI">#REF!</definedName>
    <definedName name="KINH_PHI_TBA">#REF!</definedName>
    <definedName name="kkk" hidden="1">{"'Sheet1'!$L$16"}</definedName>
    <definedName name="KL">#REF!</definedName>
    <definedName name="KLC">#REF!</definedName>
    <definedName name="KLD">#REF!</definedName>
    <definedName name="kldd1p">#REF!</definedName>
    <definedName name="KLKL">#REF!</definedName>
    <definedName name="KLKT">#REF!</definedName>
    <definedName name="KLND">#REF!</definedName>
    <definedName name="KLPM">#REF!</definedName>
    <definedName name="KLTC">#REF!</definedName>
    <definedName name="KLTHDN">#REF!</definedName>
    <definedName name="KLVANKHUON">#REF!</definedName>
    <definedName name="KP">#REF!</definedName>
    <definedName name="kp1ph">#REF!</definedName>
    <definedName name="ks">#REF!</definedName>
    <definedName name="ksbn" hidden="1">{"'Sheet1'!$L$16"}</definedName>
    <definedName name="kshn" hidden="1">{"'Sheet1'!$L$16"}</definedName>
    <definedName name="ksls" hidden="1">{"'Sheet1'!$L$16"}</definedName>
    <definedName name="KSTK">#REF!</definedName>
    <definedName name="KT">#REF!</definedName>
    <definedName name="ktdk0" hidden="1">{#N/A,#N/A,FALSE,"Chi tiÆt"}</definedName>
    <definedName name="KVC">#REF!</definedName>
    <definedName name="kyhieu">#REF!</definedName>
    <definedName name="l">#REF!</definedName>
    <definedName name="l_1">#REF!</definedName>
    <definedName name="L_mong">#REF!</definedName>
    <definedName name="Label_UP">#REF!</definedName>
    <definedName name="Label_UP2">#REF!</definedName>
    <definedName name="lan">#REF!</definedName>
    <definedName name="LANDIMP">#REF!</definedName>
    <definedName name="LANDREV">#REF!</definedName>
    <definedName name="lane">#REF!</definedName>
    <definedName name="langson" hidden="1">{"'Sheet1'!$L$16"}</definedName>
    <definedName name="LAP_DAT_TBA">#REF!</definedName>
    <definedName name="Lc">#REF!</definedName>
    <definedName name="lcoc">#REF!</definedName>
    <definedName name="lh">#REF!</definedName>
    <definedName name="LIET_KE_VI_TRI_DZ0.4KV">#REF!</definedName>
    <definedName name="LIET_KE_VI_TRI_DZ22KV">#REF!</definedName>
    <definedName name="line15">#REF!</definedName>
    <definedName name="List_of_Material">#REF!</definedName>
    <definedName name="LK_hathe">#REF!</definedName>
    <definedName name="LmChuDauTu">#REF!</definedName>
    <definedName name="LmDvGiamSat">#REF!</definedName>
    <definedName name="LmDvThiCong">#REF!</definedName>
    <definedName name="LmDvThietKe">#REF!</definedName>
    <definedName name="LmHangMucDA">#REF!</definedName>
    <definedName name="LmHangMucDAH">#REF!</definedName>
    <definedName name="Lmk">#REF!</definedName>
    <definedName name="LmMaDA">#REF!</definedName>
    <definedName name="LmTenDA">#REF!</definedName>
    <definedName name="LmTenDAH">#REF!</definedName>
    <definedName name="LN">#REF!</definedName>
    <definedName name="Lnsc">#REF!</definedName>
    <definedName name="lntt">#REF!</definedName>
    <definedName name="Lo">#REF!</definedName>
    <definedName name="LOAI_DUONG">#REF!</definedName>
    <definedName name="Loai_TD">#REF!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ón2">#REF!</definedName>
    <definedName name="lón3">#REF!</definedName>
    <definedName name="lón5">#REF!</definedName>
    <definedName name="long">#REF!</definedName>
    <definedName name="Lst">#REF!</definedName>
    <definedName name="LT">#REF!</definedName>
    <definedName name="ltdbgt">#REF!</definedName>
    <definedName name="LTGTQM">#REF!</definedName>
    <definedName name="lVC">#REF!</definedName>
    <definedName name="m">#REF!</definedName>
    <definedName name="M10aavc">#REF!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anc">#REF!</definedName>
    <definedName name="m8aavl">#REF!</definedName>
    <definedName name="ma">#REF!</definedName>
    <definedName name="Ma3pnc">#REF!</definedName>
    <definedName name="Ma3pvl">#REF!</definedName>
    <definedName name="Maa3pnc">#REF!</definedName>
    <definedName name="Maa3pvl">#REF!</definedName>
    <definedName name="MAJ_CON_EQP">#REF!</definedName>
    <definedName name="MaMay_Q">#REF!</definedName>
    <definedName name="MAT">#REF!</definedName>
    <definedName name="MAVANKHUON">#REF!</definedName>
    <definedName name="MAVLTHDN">#REF!</definedName>
    <definedName name="Mba1p">#REF!</definedName>
    <definedName name="Mba3p">#REF!</definedName>
    <definedName name="Mbb3p">#REF!</definedName>
    <definedName name="Mbn1p">#REF!</definedName>
    <definedName name="mc">#REF!</definedName>
    <definedName name="MDV">#REF!</definedName>
    <definedName name="me">#REF!</definedName>
    <definedName name="MF">#REF!</definedName>
    <definedName name="MG_A">#REF!</definedName>
    <definedName name="mgiam">#REF!</definedName>
    <definedName name="MHDG">#REF!</definedName>
    <definedName name="minh1">#REF!</definedName>
    <definedName name="mk">#REF!</definedName>
    <definedName name="mo" hidden="1">{"'Sheet1'!$L$16"}</definedName>
    <definedName name="moi" hidden="1">{"'Sheet1'!$L$16"}</definedName>
    <definedName name="Morong">#REF!</definedName>
    <definedName name="Morong4054_85">#REF!</definedName>
    <definedName name="morong4054_98">#REF!</definedName>
    <definedName name="Moùng">#REF!</definedName>
    <definedName name="MSCT">#REF!</definedName>
    <definedName name="mtc">#REF!</definedName>
    <definedName name="mtcdg">#REF!</definedName>
    <definedName name="MTCMB">#REF!</definedName>
    <definedName name="MTMAC12">#REF!</definedName>
    <definedName name="mtram">#REF!</definedName>
    <definedName name="Mu">#REF!</definedName>
    <definedName name="Mu_">#REF!</definedName>
    <definedName name="MucDoCanThiet">#REF!</definedName>
    <definedName name="MucDoThamSoDuLieuDauKy">#REF!</definedName>
    <definedName name="MucDoYeuCau">#REF!</definedName>
    <definedName name="MV">#REF!</definedName>
    <definedName name="myle">#REF!</definedName>
    <definedName name="n">#REF!</definedName>
    <definedName name="n.s">#REF!</definedName>
    <definedName name="n1pig">#REF!</definedName>
    <definedName name="N1pIGvc">#REF!</definedName>
    <definedName name="n1pind">#REF!</definedName>
    <definedName name="N1pINDvc">#REF!</definedName>
    <definedName name="n1ping">#REF!</definedName>
    <definedName name="N1pINGvc">#REF!</definedName>
    <definedName name="n1pint">#REF!</definedName>
    <definedName name="Na">#REF!</definedName>
    <definedName name="nam" hidden="1">{"'Sheet1'!$L$16"}</definedName>
    <definedName name="name">#REF!</definedName>
    <definedName name="name1">#REF!</definedName>
    <definedName name="name2">#N/A</definedName>
    <definedName name="Nb">#REF!</definedName>
    <definedName name="nc">#REF!</definedName>
    <definedName name="nc_btm10">#REF!</definedName>
    <definedName name="nc_btm100">#REF!</definedName>
    <definedName name="nc1p">#REF!</definedName>
    <definedName name="nc3p">#REF!</definedName>
    <definedName name="ncb">#N/A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g">#REF!</definedName>
    <definedName name="nctram">#REF!</definedName>
    <definedName name="NCVC100">#REF!</definedName>
    <definedName name="NCVC200">#REF!</definedName>
    <definedName name="NCVC250">#REF!</definedName>
    <definedName name="NCVC3P">#REF!</definedName>
    <definedName name="ND">#REF!</definedName>
    <definedName name="Ne" hidden="1">{"'Sheet1'!$L$16"}</definedName>
    <definedName name="Nem"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w" hidden="1">{"'Sheet1'!$L$16"}</definedName>
    <definedName name="Ngay">#REF!</definedName>
    <definedName name="ngu" hidden="1">{"'Sheet1'!$L$16"}</definedName>
    <definedName name="ngy">#REF!</definedName>
    <definedName name="NH">#REF!</definedName>
    <definedName name="Nh_n_cáng">#REF!</definedName>
    <definedName name="nhap2">#N/A</definedName>
    <definedName name="nhapcb">#N/A</definedName>
    <definedName name="nhd">#REF!</definedName>
    <definedName name="nhn">#REF!</definedName>
    <definedName name="NhNgam">#REF!</definedName>
    <definedName name="NHot">#REF!</definedName>
    <definedName name="NhTreo">#REF!</definedName>
    <definedName name="nhua">#REF!</definedName>
    <definedName name="nig">#REF!</definedName>
    <definedName name="nig1p">#REF!</definedName>
    <definedName name="nig3p">#REF!</definedName>
    <definedName name="NIGnc">#REF!</definedName>
    <definedName name="nignc1p">#REF!</definedName>
    <definedName name="NIGvc">#REF!</definedName>
    <definedName name="NIGvl">#REF!</definedName>
    <definedName name="nigvl1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c">#REF!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c">#REF!</definedName>
    <definedName name="ninvl3p">#REF!</definedName>
    <definedName name="nl">#REF!</definedName>
    <definedName name="NL12nc">#REF!</definedName>
    <definedName name="NL12vl">#REF!</definedName>
    <definedName name="nl1p">#REF!</definedName>
    <definedName name="nl3p">#REF!</definedName>
    <definedName name="nlnc3p">#REF!</definedName>
    <definedName name="nlnc3pha">#REF!</definedName>
    <definedName name="NLTK1p">#REF!</definedName>
    <definedName name="nlvl3p">#REF!</definedName>
    <definedName name="Nms">#REF!</definedName>
    <definedName name="nn">#REF!</definedName>
    <definedName name="nn1p">#REF!</definedName>
    <definedName name="nn3p">#REF!</definedName>
    <definedName name="nnn" hidden="1">{"'Sheet1'!$L$16"}</definedName>
    <definedName name="nnnc3p">#REF!</definedName>
    <definedName name="nnvl3p">#REF!</definedName>
    <definedName name="No">#REF!</definedName>
    <definedName name="Np">#REF!</definedName>
    <definedName name="Nq">#REF!</definedName>
    <definedName name="ns">#REF!</definedName>
    <definedName name="nt">#REF!</definedName>
    <definedName name="number">#REF!</definedName>
    <definedName name="nuy">#REF!</definedName>
    <definedName name="nv">#REF!</definedName>
    <definedName name="o" hidden="1">{"'Sheet1'!$L$16"}</definedName>
    <definedName name="OE">#REF!</definedName>
    <definedName name="oi">#REF!</definedName>
    <definedName name="ophom">#REF!</definedName>
    <definedName name="OrderTable" hidden="1">#REF!</definedName>
    <definedName name="Out">#REF!</definedName>
    <definedName name="oxi">#REF!</definedName>
    <definedName name="P">#N/A</definedName>
    <definedName name="P_M">#REF!</definedName>
    <definedName name="PA">#REF!</definedName>
    <definedName name="PChe">#REF!</definedName>
    <definedName name="Pd">#REF!</definedName>
    <definedName name="PDO" hidden="1">{"'Summary'!$A$1:$J$46"}</definedName>
    <definedName name="pdqt">#REF!</definedName>
    <definedName name="PEJM">#REF!</definedName>
    <definedName name="PF">#REF!</definedName>
    <definedName name="phainop">#REF!</definedName>
    <definedName name="PHAN_DIEN_DZ0.4KV">#REF!</definedName>
    <definedName name="PHAN_DIEN_TBA">#REF!</definedName>
    <definedName name="PHAN_MUA_SAM_DZ0.4KV">#REF!</definedName>
    <definedName name="PhanLoaiYeuCau">#REF!</definedName>
    <definedName name="phu_luc_vua">#REF!</definedName>
    <definedName name="phugia">#REF!</definedName>
    <definedName name="PileSize">#REF!</definedName>
    <definedName name="PileType">#REF!</definedName>
    <definedName name="PK">#REF!</definedName>
    <definedName name="PL" hidden="1">{"'Sheet1'!$L$16"}</definedName>
    <definedName name="PLm">#REF!</definedName>
    <definedName name="PLs">#REF!</definedName>
    <definedName name="PM">#REF!</definedName>
    <definedName name="power_ini">#REF!</definedName>
    <definedName name="PRICE">#REF!</definedName>
    <definedName name="PRICE1">#REF!</definedName>
    <definedName name="prin_area">#REF!</definedName>
    <definedName name="Print_Area_MI">#REF!</definedName>
    <definedName name="Print_Titles_MI">#REF!</definedName>
    <definedName name="PRINTA">#REF!</definedName>
    <definedName name="PRINTB">#REF!</definedName>
    <definedName name="PRINTC">#REF!</definedName>
    <definedName name="ProdForm" hidden="1">#REF!</definedName>
    <definedName name="Product">#REF!</definedName>
    <definedName name="PROPOSAL">#REF!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okN">#REF!</definedName>
    <definedName name="Pu">#REF!</definedName>
    <definedName name="pvd">#REF!</definedName>
    <definedName name="pw">#REF!</definedName>
    <definedName name="q">{"Thuxm2.xls","Sheet1"}</definedName>
    <definedName name="qc">#REF!</definedName>
    <definedName name="qềqg" hidden="1">{"'Sheet1'!$L$16"}</definedName>
    <definedName name="qh">#REF!</definedName>
    <definedName name="ql">#REF!</definedName>
    <definedName name="qp">#REF!</definedName>
    <definedName name="qqqq" hidden="1">{"'Sheet1'!$L$16"}</definedName>
    <definedName name="qqqqqqqqqqqqqqqqqqqqqq" hidden="1">{"'Sheet1'!$L$16"}</definedName>
    <definedName name="qtdm">#REF!</definedName>
    <definedName name="QtuÊn">#REF!</definedName>
    <definedName name="qu">#REF!</definedName>
    <definedName name="qừq" hidden="1">{#N/A,#N/A,FALSE,"Chi tiÆt"}</definedName>
    <definedName name="qvv" hidden="1">{"'Sheet1'!$L$16"}</definedName>
    <definedName name="qx">#REF!</definedName>
    <definedName name="qy">#REF!</definedName>
    <definedName name="r_">#REF!</definedName>
    <definedName name="ra11p">#REF!</definedName>
    <definedName name="ra13p">#REF!</definedName>
    <definedName name="RCArea" hidden="1">#REF!</definedName>
    <definedName name="rche">#REF!</definedName>
    <definedName name="rdrdd" hidden="1">{#N/A,#N/A,FALSE,"Chi tiÆt"}</definedName>
    <definedName name="RECOUT">#REF!</definedName>
    <definedName name="REE">#REF!</definedName>
    <definedName name="REENTECH">#REF!</definedName>
    <definedName name="RFP003A">#REF!</definedName>
    <definedName name="RFP003AA">#REF!</definedName>
    <definedName name="RFP003B">#REF!</definedName>
    <definedName name="RFP003C">#REF!</definedName>
    <definedName name="RFP003D">#REF!</definedName>
    <definedName name="RFP003E">#REF!</definedName>
    <definedName name="RFP003F">#REF!</definedName>
    <definedName name="rhgrs" hidden="1">{"'Sheet1'!$L$16"}</definedName>
    <definedName name="rhrewhehe" hidden="1">{#N/A,#N/A,FALSE,"Chi tiÆt"}</definedName>
    <definedName name="rjf" hidden="1">{"Offgrid",#N/A,FALSE,"OFFGRID";"Region",#N/A,FALSE,"REGION";"Offgrid -2",#N/A,FALSE,"OFFGRID";"WTP",#N/A,FALSE,"WTP";"WTP -2",#N/A,FALSE,"WTP";"Project",#N/A,FALSE,"PROJECT";"Summary -2",#N/A,FALSE,"SUMMARY"}</definedName>
    <definedName name="Rnp">#REF!</definedName>
    <definedName name="RT">#REF!</definedName>
    <definedName name="rthan">#REF!</definedName>
    <definedName name="Ru">#REF!</definedName>
    <definedName name="ryhtrd" hidden="1">{#N/A,#N/A,FALSE,"Chi tiÆt"}</definedName>
    <definedName name="s.">#REF!</definedName>
    <definedName name="sang" hidden="1">{"'Sheet1'!$L$16"}</definedName>
    <definedName name="sat">#REF!</definedName>
    <definedName name="satu">#REF!</definedName>
    <definedName name="SB">#REF!</definedName>
    <definedName name="sc">#REF!</definedName>
    <definedName name="scao98">#REF!</definedName>
    <definedName name="SCH">#REF!</definedName>
    <definedName name="sCol" hidden="1">zisdgiactiet_gia.vtu*2+3</definedName>
    <definedName name="SCT">#REF!</definedName>
    <definedName name="sd" hidden="1">{"'Sheet1'!$L$16"}</definedName>
    <definedName name="sd1p">#REF!</definedName>
    <definedName name="sdf" hidden="1">{"'Sheet1'!$L$16"}</definedName>
    <definedName name="SDMONG">#REF!</definedName>
    <definedName name="sdz" hidden="1">{"'Sheet1'!$L$16"}</definedName>
    <definedName name="SEARE">#REF!</definedName>
    <definedName name="sgsr" hidden="1">{"'Sheet1'!$L$16"}</definedName>
    <definedName name="sh">#REF!</definedName>
    <definedName name="SHDGC">#REF!</definedName>
    <definedName name="SHDGD">#REF!</definedName>
    <definedName name="Sheet1">#REF!</definedName>
    <definedName name="sho">#REF!</definedName>
    <definedName name="SHPC">#REF!</definedName>
    <definedName name="SHPD">#REF!</definedName>
    <definedName name="shsrhtr" hidden="1">{"'Sheet1'!$L$16"}</definedName>
    <definedName name="sHsVlNcCm" hidden="1">VALUE(IF(LEFT(OFFSET(Acell,0,-4),1)="A",dthkp_hsvl,IF(LEFT(OFFSET(Acell,0,-4),1)="B",dthkp_hsnc,dthkp_hscm)))</definedName>
    <definedName name="sht1p">#REF!</definedName>
    <definedName name="sieucao">#REF!</definedName>
    <definedName name="sika">#REF!</definedName>
    <definedName name="sin">#REF!</definedName>
    <definedName name="SIZE">#REF!</definedName>
    <definedName name="SL">#REF!</definedName>
    <definedName name="SL_CRD">#REF!</definedName>
    <definedName name="SL_CRS">#REF!</definedName>
    <definedName name="SL_CS">#REF!</definedName>
    <definedName name="SL_DD">#REF!</definedName>
    <definedName name="sMh" hidden="1">IF(LEFT(OFFSET(Acell,0,-6),1)="1",dvtu_mh,IF(LEFT(OFFSET(Acell,0,-6),1)="2",dncong_mh,dcmay_mh))</definedName>
    <definedName name="sn">#REF!</definedName>
    <definedName name="sName" hidden="1">IF(LEFT(OFFSET(Acell,0,-6),1)="1",dvtu_name,IF(LEFT(OFFSET(Acell,0,-6),1)="2",dncong_name,dcmay_name))</definedName>
    <definedName name="So_Chu">#REF!</definedName>
    <definedName name="So_Chu.Drop1">#REF!</definedName>
    <definedName name="So_Chu.Drop3">#REF!</definedName>
    <definedName name="So_Chu.So_Xau">#REF!</definedName>
    <definedName name="So_Xau">#N/A</definedName>
    <definedName name="soc3p">#REF!</definedName>
    <definedName name="SoHT">1</definedName>
    <definedName name="Soi">#REF!</definedName>
    <definedName name="Soichon">#REF!</definedName>
    <definedName name="soichon12">#REF!</definedName>
    <definedName name="soichon24">#REF!</definedName>
    <definedName name="Soichon2x4">#REF!</definedName>
    <definedName name="soichon46">#REF!</definedName>
    <definedName name="SoilType">#REF!</definedName>
    <definedName name="SoilType_">#REF!</definedName>
    <definedName name="solieu">#REF!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7</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n">#REF!</definedName>
    <definedName name="SORT">#REF!</definedName>
    <definedName name="SORT_AREA">#REF!</definedName>
    <definedName name="SoXau">#N/A</definedName>
    <definedName name="SP">#REF!</definedName>
    <definedName name="sp_uprice">#REF!</definedName>
    <definedName name="SPEC">#REF!</definedName>
    <definedName name="SpecialPrice" hidden="1">#REF!</definedName>
    <definedName name="SPECSUMMARY">#REF!</definedName>
    <definedName name="spk1p">#REF!</definedName>
    <definedName name="SQDKT10">#REF!</definedName>
    <definedName name="SQDKT11">#REF!</definedName>
    <definedName name="SQDKT9">#REF!</definedName>
    <definedName name="sRng" hidden="1">IF(LEFT(OFFSET(Acell,0,-6),1)="1",dvtu_rng,IF(LEFT(OFFSET(Acell,0,-6),1)="2",dncong_rng,dcmay_rng))</definedName>
    <definedName name="SRSQI">#REF!</definedName>
    <definedName name="srtg">#REF!</definedName>
    <definedName name="ss">#N/A</definedName>
    <definedName name="sssd">#REF!</definedName>
    <definedName name="ST">#REF!</definedName>
    <definedName name="st1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tus">#REF!</definedName>
    <definedName name="Stt">#REF!</definedName>
    <definedName name="su">#REF!</definedName>
    <definedName name="sub">#REF!</definedName>
    <definedName name="Subbase" hidden="1">{"'Sheet1'!$L$16"}</definedName>
    <definedName name="SUM">#REF!</definedName>
    <definedName name="SUMMARY">#REF!</definedName>
    <definedName name="sumTB">#REF!</definedName>
    <definedName name="sumXL">#REF!</definedName>
    <definedName name="sur">#REF!</definedName>
    <definedName name="sx">#N/A</definedName>
    <definedName name="t">#REF!</definedName>
    <definedName name="t.05" hidden="1">{#N/A,#N/A,FALSE,"Chi tiÆt"}</definedName>
    <definedName name="T_Hoanvon">#REF!</definedName>
    <definedName name="t101p">#REF!</definedName>
    <definedName name="t103p">#REF!</definedName>
    <definedName name="t10nc1p">#REF!</definedName>
    <definedName name="T10vc">#REF!</definedName>
    <definedName name="t10vl1p">#REF!</definedName>
    <definedName name="t121p">#REF!</definedName>
    <definedName name="t123p">#REF!</definedName>
    <definedName name="T12vc">#REF!</definedName>
    <definedName name="t141p">#REF!</definedName>
    <definedName name="t143p">#REF!</definedName>
    <definedName name="t14nc3p">#REF!</definedName>
    <definedName name="t14vl3p">#REF!</definedName>
    <definedName name="TAMTINH">#REF!</definedName>
    <definedName name="tarcb_total">#REF!</definedName>
    <definedName name="tarcb_total2">#REF!</definedName>
    <definedName name="taup_total">#REF!</definedName>
    <definedName name="tavet">#REF!</definedName>
    <definedName name="Tax">#REF!</definedName>
    <definedName name="tb">#REF!</definedName>
    <definedName name="TBA">#REF!</definedName>
    <definedName name="tbao" hidden="1">{"'Sheet1'!$L$16"}</definedName>
    <definedName name="tbl_ProdInfo" hidden="1">#REF!</definedName>
    <definedName name="tbtram">#REF!</definedName>
    <definedName name="TBXD">#REF!</definedName>
    <definedName name="TC">#REF!</definedName>
    <definedName name="TC_NHANH1">#REF!</definedName>
    <definedName name="Tchuan">#REF!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E">#REF!</definedName>
    <definedName name="tdia">#REF!</definedName>
    <definedName name="tdnc1p">#REF!</definedName>
    <definedName name="tdt">#REF!</definedName>
    <definedName name="tdtr2cnc">#REF!</definedName>
    <definedName name="tdtr2cvl">#REF!</definedName>
    <definedName name="tdvl1p">#REF!</definedName>
    <definedName name="ten">#REF!</definedName>
    <definedName name="tencs">#REF!</definedName>
    <definedName name="TenNgam">#REF!</definedName>
    <definedName name="TenTreo">#REF!</definedName>
    <definedName name="test1">#REF!</definedName>
    <definedName name="tg">#REF!</definedName>
    <definedName name="tgưgz" hidden="1">{"'Sheet1'!$L$16"}</definedName>
    <definedName name="th">#REF!</definedName>
    <definedName name="tha" hidden="1">{"'Sheet1'!$L$16"}</definedName>
    <definedName name="thanhchong">#REF!</definedName>
    <definedName name="thanhtoankl" hidden="1">{"'Sheet1'!$L$16"}</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10">#REF!</definedName>
    <definedName name="thep18">#REF!</definedName>
    <definedName name="thep20">#REF!</definedName>
    <definedName name="thepban">#REF!</definedName>
    <definedName name="thepci">#REF!</definedName>
    <definedName name="thepci8">#REF!</definedName>
    <definedName name="thepcii">#REF!</definedName>
    <definedName name="thepgoc25_60">#REF!</definedName>
    <definedName name="thepgoc63_75">#REF!</definedName>
    <definedName name="thepgoc80_100">#REF!</definedName>
    <definedName name="thept">#REF!</definedName>
    <definedName name="thepto">#REF!</definedName>
    <definedName name="theptron12">#REF!</definedName>
    <definedName name="theptron14_22">#REF!</definedName>
    <definedName name="theptron6_8">#REF!</definedName>
    <definedName name="thepU">#REF!</definedName>
    <definedName name="thg">#REF!</definedName>
    <definedName name="THGO1pnc">#REF!</definedName>
    <definedName name="thh">#REF!</definedName>
    <definedName name="thht">#REF!</definedName>
    <definedName name="THI">#REF!</definedName>
    <definedName name="THK">#REF!</definedName>
    <definedName name="thkp3">#REF!</definedName>
    <definedName name="THop2">#REF!</definedName>
    <definedName name="THT">#REF!</definedName>
    <definedName name="ththu" hidden="1">{"'Sheet1'!$L$16"}</definedName>
    <definedName name="thtt">#REF!</definedName>
    <definedName name="thu" hidden="1">{"'Sheet1'!$L$16"}</definedName>
    <definedName name="thue">#REF!</definedName>
    <definedName name="thuy" hidden="1">{"'Sheet1'!$L$16"}</definedName>
    <definedName name="Tien">#REF!</definedName>
    <definedName name="TIENLUONG">#REF!</definedName>
    <definedName name="TIEU_HAO_VAT_TU_DZ0.4KV">#REF!</definedName>
    <definedName name="TIEU_HAO_VAT_TU_DZ22KV">#REF!</definedName>
    <definedName name="TIEU_HAO_VAT_TU_TBA">#REF!</definedName>
    <definedName name="Tim_cong">#REF!</definedName>
    <definedName name="tim_lan_xuat_hien">#REF!</definedName>
    <definedName name="tim_xuat_hien">#REF!</definedName>
    <definedName name="TITAN">#REF!</definedName>
    <definedName name="tjhtrjntrsjnsr" hidden="1">{"'Sheet1'!$L$16"}</definedName>
    <definedName name="tjhủn" hidden="1">{"Offgrid",#N/A,FALSE,"OFFGRID";"Region",#N/A,FALSE,"REGION";"Offgrid -2",#N/A,FALSE,"OFFGRID";"WTP",#N/A,FALSE,"WTP";"WTP -2",#N/A,FALSE,"WTP";"Project",#N/A,FALSE,"PROJECT";"Summary -2",#N/A,FALSE,"SUMMARY"}</definedName>
    <definedName name="tjjrj" hidden="1">{#N/A,#N/A,FALSE,"Chi tiÆt"}</definedName>
    <definedName name="tk">#N/A</definedName>
    <definedName name="tke">#N/A</definedName>
    <definedName name="TKP">#REF!</definedName>
    <definedName name="TKT">#REF!</definedName>
    <definedName name="TL">#REF!</definedName>
    <definedName name="TLAC120">#REF!</definedName>
    <definedName name="TLAC35">#REF!</definedName>
    <definedName name="TLAC50">#REF!</definedName>
    <definedName name="TLAC70">#REF!</definedName>
    <definedName name="TLAC95">#REF!</definedName>
    <definedName name="Tle">#REF!</definedName>
    <definedName name="tlntt">#REF!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M_21E1">#REF!</definedName>
    <definedName name="TM_63E1">#REF!</definedName>
    <definedName name="TM_8E1">#REF!</definedName>
    <definedName name="TMDT">#REF!</definedName>
    <definedName name="tn">#REF!</definedName>
    <definedName name="TNDN">#REF!</definedName>
    <definedName name="Toanbo">#REF!</definedName>
    <definedName name="ton">#REF!</definedName>
    <definedName name="Tong_co">#REF!</definedName>
    <definedName name="TONG_GIA_TRI_CONG_TRINH">#REF!</definedName>
    <definedName name="TONG_HOP_THI_NGHIEM_DZ0.4KV">#REF!</definedName>
    <definedName name="TONG_HOP_THI_NGHIEM_DZ22KV">#REF!</definedName>
    <definedName name="TONG_KE_TBA">#REF!</definedName>
    <definedName name="Tong_no">#REF!</definedName>
    <definedName name="TONGDUTOAN">#REF!</definedName>
    <definedName name="tonghop">{"Thuxm2.xls","Sheet1"}</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otbtoi">#REF!</definedName>
    <definedName name="TOYOTA">#REF!</definedName>
    <definedName name="tp">#REF!</definedName>
    <definedName name="TPLRP">#REF!</definedName>
    <definedName name="Tra_Cot">#REF!</definedName>
    <definedName name="Tra_DM_su_dung">#REF!</definedName>
    <definedName name="Tra_don_gia_KS">#REF!</definedName>
    <definedName name="Tra_DTCT">#REF!</definedName>
    <definedName name="Tra_gtxl_cong">#REF!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A103">#REF!</definedName>
    <definedName name="TRADE2">#REF!</definedName>
    <definedName name="tram">#REF!</definedName>
    <definedName name="tramatcong1">#REF!</definedName>
    <definedName name="tramatcong2">#REF!</definedName>
    <definedName name="tranhietdo">#REF!</definedName>
    <definedName name="Transport">#REF!</definedName>
    <definedName name="TRAvH">#REF!</definedName>
    <definedName name="TRAVL">#REF!</definedName>
    <definedName name="trieu" hidden="1">{"'Sheet1'!$L$16"}</definedName>
    <definedName name="Trinhduyet" hidden="1">{#N/A,#N/A,FALSE,"Chi tiÆt"}</definedName>
    <definedName name="TRISO">#REF!</definedName>
    <definedName name="trrh" hidden="1">{"'Sheet1'!$L$16"}</definedName>
    <definedName name="trt">#REF!</definedName>
    <definedName name="truck">#REF!</definedName>
    <definedName name="ts">#REF!</definedName>
    <definedName name="tsI">#REF!</definedName>
    <definedName name="tstndn">#REF!</definedName>
    <definedName name="tt">#REF!</definedName>
    <definedName name="TT_1P">#REF!</definedName>
    <definedName name="TT_3p">#REF!</definedName>
    <definedName name="ttbt">#REF!</definedName>
    <definedName name="TTDD1P">#REF!</definedName>
    <definedName name="TTDKKH">#REF!</definedName>
    <definedName name="TTHBCMTDKQII">#REF!</definedName>
    <definedName name="TTHBCMTDKT5">#REF!</definedName>
    <definedName name="TTHBCMTQI">#REF!</definedName>
    <definedName name="TTHBCMTT4">#REF!</definedName>
    <definedName name="tthi">#REF!</definedName>
    <definedName name="TTN">#REF!</definedName>
    <definedName name="tto">#REF!</definedName>
    <definedName name="ttoxtp">#REF!</definedName>
    <definedName name="ttr" hidden="1">{"'Sheet1'!$L$16"}</definedName>
    <definedName name="ttronmk">#REF!</definedName>
    <definedName name="Tuanquyen" hidden="1">{#N/A,#N/A,FALSE,"Chi tiÆt"}</definedName>
    <definedName name="tudc">#REF!</definedName>
    <definedName name="tuyennhanh" hidden="1">{"'Sheet1'!$L$16"}</definedName>
    <definedName name="Tuyenquang">#REF!</definedName>
    <definedName name="tuyequang">#REF!</definedName>
    <definedName name="tv75nc">#REF!</definedName>
    <definedName name="tv75vl">#REF!</definedName>
    <definedName name="tvl">#REF!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u">#REF!</definedName>
    <definedName name="u_level_price">#REF!</definedName>
    <definedName name="uassw_sh" hidden="1">{"'Sheet1'!$L$16"}</definedName>
    <definedName name="UD_ini">#REF!</definedName>
    <definedName name="ƯEQƯEW">#REF!</definedName>
    <definedName name="ƯEQƯEWQ">#REF!</definedName>
    <definedName name="ugh">#REF!</definedName>
    <definedName name="ủnt" hidden="1">{"'Sheet1'!$L$16"}</definedName>
    <definedName name="UP">#REF!</definedName>
    <definedName name="USD">#REF!</definedName>
    <definedName name="USDrate">#REF!</definedName>
    <definedName name="ủytỉt" hidden="1">{"'Sheet1'!$L$16"}</definedName>
    <definedName name="uytjhtdjtj" hidden="1">{"'Sheet1'!$L$16"}</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t_tõ">#REF!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_CHUYEN_DUONG_DAI_DZ0.4KV">#REF!</definedName>
    <definedName name="VAN_CHUYEN_DUONG_DAI_DZ22KV">#REF!</definedName>
    <definedName name="VAN_CHUYEN_VAT_TU_CHUNG">#REF!</definedName>
    <definedName name="VAN_TRUNG_CHUYEN_VAT_TU_CHUNG">#REF!</definedName>
    <definedName name="VARIINST">#REF!</definedName>
    <definedName name="VARIPURC">#REF!</definedName>
    <definedName name="vat">#REF!</definedName>
    <definedName name="VAT_LIEU_DEN_CHAN_CONG_TRINH">#REF!</definedName>
    <definedName name="vay_cty">#REF!</definedName>
    <definedName name="vbtchongnuocm300">#REF!</definedName>
    <definedName name="vbtm150">#REF!</definedName>
    <definedName name="vbtm300">#REF!</definedName>
    <definedName name="vbtm400">#REF!</definedName>
    <definedName name="vccot">#REF!</definedName>
    <definedName name="VCHT">#REF!</definedName>
    <definedName name="vcoto" hidden="1">{"'Sheet1'!$L$16"}</definedName>
    <definedName name="vctb">#REF!</definedName>
    <definedName name="VCTT">#REF!</definedName>
    <definedName name="vcxa">#REF!</definedName>
    <definedName name="vd">#REF!</definedName>
    <definedName name="vd3p">#REF!</definedName>
    <definedName name="Viet" hidden="1">{"'Sheet1'!$L$16"}</definedName>
    <definedName name="vk">#REF!</definedName>
    <definedName name="vkcauthang">#REF!</definedName>
    <definedName name="vksan">#REF!</definedName>
    <definedName name="vl">#REF!</definedName>
    <definedName name="VL_RC1">#REF!</definedName>
    <definedName name="VL_RC2">#REF!</definedName>
    <definedName name="VL_Rnha">#REF!</definedName>
    <definedName name="VL_RS">#REF!</definedName>
    <definedName name="vl1p">#REF!</definedName>
    <definedName name="vl3p">#REF!</definedName>
    <definedName name="Vlcap0.7">#REF!</definedName>
    <definedName name="VLcap1">#REF!</definedName>
    <definedName name="vlct" hidden="1">{"'Sheet1'!$L$16"}</definedName>
    <definedName name="VLCT3p">#REF!</definedName>
    <definedName name="vldg">#REF!</definedName>
    <definedName name="vldn400">#REF!</definedName>
    <definedName name="vldn600">#REF!</definedName>
    <definedName name="VLIEU">#REF!</definedName>
    <definedName name="VLM">#REF!</definedName>
    <definedName name="vltram">#REF!</definedName>
    <definedName name="VND">#REF!</definedName>
    <definedName name="vnd_list" hidden="1">{"một";"hai";"ba";"bốn";"năm";"sáu";"bảy";"tám";"chín";"mười";"mươi";"mốt";"lăm";"trăm";"nghìn";"triệu";"tỷ";"lẻ";"không trăm";"Bằng chử : "}</definedName>
    <definedName name="vr3p">#REF!</definedName>
    <definedName name="vt">#REF!</definedName>
    <definedName name="Vu">#REF!</definedName>
    <definedName name="VÙ">#REF!</definedName>
    <definedName name="Vu_">#REF!</definedName>
    <definedName name="W">#REF!</definedName>
    <definedName name="walkway" hidden="1">{"'Sheet1'!$L$16"}</definedName>
    <definedName name="wb">#REF!</definedName>
    <definedName name="wct">#REF!</definedName>
    <definedName name="Wd">#REF!</definedName>
    <definedName name="wgyw" hidden="1">{"'Sheet1'!$L$16"}</definedName>
    <definedName name="wl">#REF!</definedName>
    <definedName name="W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wrn.aaa.">#REF!</definedName>
    <definedName name="wrn.chi._.tiÆt.">#REF!</definedName>
    <definedName name="wrn.cong.">#REF!</definedName>
    <definedName name="wrn.Report." hidden="1">{"Offgrid",#N/A,FALSE,"OFFGRID";"Region",#N/A,FALSE,"REGION";"Offgrid -2",#N/A,FALSE,"OFFGRID";"WTP",#N/A,FALSE,"WTP";"WTP -2",#N/A,FALSE,"WTP";"Project",#N/A,FALSE,"PROJECT";"Summary -2",#N/A,FALSE,"SUMMARY"}</definedName>
    <definedName name="wrn.vd." hidden="1">{#N/A,#N/A,TRUE,"BT M200 da 10x20"}</definedName>
    <definedName name="wrnf.report" hidden="1">{"Offgrid",#N/A,FALSE,"OFFGRID";"Region",#N/A,FALSE,"REGION";"Offgrid -2",#N/A,FALSE,"OFFGRID";"WTP",#N/A,FALSE,"WTP";"WTP -2",#N/A,FALSE,"WTP";"Project",#N/A,FALSE,"PROJECT";"Summary -2",#N/A,FALSE,"SUMMARY"}</definedName>
    <definedName name="wrww" hidden="1">{"Offgrid",#N/A,FALSE,"OFFGRID";"Region",#N/A,FALSE,"REGION";"Offgrid -2",#N/A,FALSE,"OFFGRID";"WTP",#N/A,FALSE,"WTP";"WTP -2",#N/A,FALSE,"WTP";"Project",#N/A,FALSE,"PROJECT";"Summary -2",#N/A,FALSE,"SUMMARY"}</definedName>
    <definedName name="Ws">#REF!</definedName>
    <definedName name="Wss">#REF!</definedName>
    <definedName name="Wst">#REF!</definedName>
    <definedName name="wt">#REF!</definedName>
    <definedName name="wtn">#REF!</definedName>
    <definedName name="wtru">#REF!</definedName>
    <definedName name="wup">#REF!</definedName>
    <definedName name="wwhh" hidden="1">{#N/A,#N/A,FALSE,"Chi tiÆt"}</definedName>
    <definedName name="wwhwhwrh" hidden="1">{"'Sheet1'!$L$16"}</definedName>
    <definedName name="x">#N/A</definedName>
    <definedName name="x_list">#REF!</definedName>
    <definedName name="x1_">#REF!</definedName>
    <definedName name="x1pind">#REF!</definedName>
    <definedName name="X1pINDvc">#REF!</definedName>
    <definedName name="x1ping">#REF!</definedName>
    <definedName name="X1pINGvc">#REF!</definedName>
    <definedName name="x1pint">#REF!</definedName>
    <definedName name="x2_">#REF!</definedName>
    <definedName name="xa">#REF!</definedName>
    <definedName name="xa_son">#REF!</definedName>
    <definedName name="xason">#REF!</definedName>
    <definedName name="XB_80">#REF!</definedName>
    <definedName name="xc">#REF!</definedName>
    <definedName name="xcp">#REF!</definedName>
    <definedName name="xd0.6">#REF!</definedName>
    <definedName name="xd1.3">#REF!</definedName>
    <definedName name="xd1.5">#REF!</definedName>
    <definedName name="XDBD">#REF!</definedName>
    <definedName name="xfco">#REF!</definedName>
    <definedName name="xfco3p">#REF!</definedName>
    <definedName name="xfcotnc">#REF!</definedName>
    <definedName name="xfcotvl">#REF!</definedName>
    <definedName name="XFCOvc">#REF!</definedName>
    <definedName name="xh">#REF!</definedName>
    <definedName name="xhn">#REF!</definedName>
    <definedName name="xig">#REF!</definedName>
    <definedName name="xig1p">#REF!</definedName>
    <definedName name="xig3p">#REF!</definedName>
    <definedName name="xignc3p">#REF!</definedName>
    <definedName name="XIGvc">#REF!</definedName>
    <definedName name="xigvl3p">#REF!</definedName>
    <definedName name="xin">#REF!</definedName>
    <definedName name="xin1903p">#REF!</definedName>
    <definedName name="XIN190vc">#REF!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c">#REF!</definedName>
    <definedName name="xindvl1p">#REF!</definedName>
    <definedName name="xing1p">#REF!</definedName>
    <definedName name="xingnc1p">#REF!</definedName>
    <definedName name="xingvl1p">#REF!</definedName>
    <definedName name="xinnc3p">#REF!</definedName>
    <definedName name="xint1p">#REF!</definedName>
    <definedName name="XINvc">#REF!</definedName>
    <definedName name="xinvl3p">#REF!</definedName>
    <definedName name="xit">#REF!</definedName>
    <definedName name="xit1p">#REF!</definedName>
    <definedName name="xit2nc3p">#REF!</definedName>
    <definedName name="xit2vl3p">#REF!</definedName>
    <definedName name="xit3p">#REF!</definedName>
    <definedName name="xitnc3p">#REF!</definedName>
    <definedName name="XITvc">#REF!</definedName>
    <definedName name="xitvl3p">#REF!</definedName>
    <definedName name="xk0.6">#REF!</definedName>
    <definedName name="xk1.3">#REF!</definedName>
    <definedName name="xk1.5">#REF!</definedName>
    <definedName name="xl">#REF!</definedName>
    <definedName name="xlc">#REF!</definedName>
    <definedName name="xld1.4">#REF!</definedName>
    <definedName name="xlk">#REF!</definedName>
    <definedName name="xlk1.4">#REF!</definedName>
    <definedName name="xlttbninh" hidden="1">{"'Sheet1'!$L$16"}</definedName>
    <definedName name="xmcax">#REF!</definedName>
    <definedName name="xn">#REF!</definedName>
    <definedName name="y">#REF!</definedName>
    <definedName name="y_list">#REF!</definedName>
    <definedName name="ycp">#REF!</definedName>
    <definedName name="ỳdhgg" hidden="1">{"'Sheet1'!$L$16"}</definedName>
    <definedName name="ỵu" hidden="1">{"'Sheet1'!$L$16"}</definedName>
    <definedName name="YvNgam">#REF!</definedName>
    <definedName name="YvTreo">#REF!</definedName>
    <definedName name="yyjy_ukyu" hidden="1">{"'Sheet1'!$L$16"}</definedName>
    <definedName name="z">#REF!</definedName>
    <definedName name="zDToan_EndRange" hidden="1">#REF!</definedName>
    <definedName name="zIsAnChuThich" hidden="1">FALSE()</definedName>
    <definedName name="zIsAnDienGiai" hidden="1">FALSE()</definedName>
    <definedName name="zIsBanTienLuong" hidden="1">TRUE()</definedName>
    <definedName name="zIsCgia" hidden="1">zIsDgiaCTiet_Gia.HPhi+3</definedName>
    <definedName name="zIsCM_BuNLieu" hidden="1">TRUE()</definedName>
    <definedName name="zIsDgiaCTiet_Gia.HPhi" hidden="1">3</definedName>
    <definedName name="zIsDgiaCTiet_Gia.NcCm" hidden="1">1</definedName>
    <definedName name="zIsDtoan_TTu" hidden="1">1</definedName>
    <definedName name="zIsDtxlsWorkBook" hidden="1">TRUE()</definedName>
    <definedName name="zIsHsCpcNc" hidden="1">FALSE()</definedName>
    <definedName name="zIsHThong_cDinhMuc" hidden="1">"DM#0258#09|DM#0023#05|DM#1210#2K|DM#0005#2K"</definedName>
    <definedName name="zIsHThong_cDonGia" hidden="1">"DGia_0258XD|DGia_0018XD|DGia_0882XD|DGia_0005LTH|1"</definedName>
    <definedName name="zIsHThong_cGiaCmay" hidden="1">"GCM0258_XD|GCM0018_XD|GCM0882_XD|GCM0005_LTH"</definedName>
    <definedName name="zIsHThong_cGiaNCong" hidden="1">"GNC0258_XD|GNC0018_XD|GNC0882_XD|GNC0005_LTH"</definedName>
    <definedName name="zIsHThong_cGiaVLieu" hidden="1">"GVL0258_XD|GVL0018_XD|GVL0882_XD|GVL0005_LTH"</definedName>
    <definedName name="zIsHThong_cMDB" hidden="1">"VienThong_Dgia|VienThong_Gia|ZZ_Dinh_Muc_CN_ZZ|ZZ_PLuc_Vua_CN_ZZ|ZZ_Danh_Muc_CN_ZZ|ZZ_CuocVc_ZZ|ZZ_DMuc_MXD_ZZ"</definedName>
    <definedName name="zIsHThong_cPLVua" hidden="1">"None|None|None|None"</definedName>
    <definedName name="zIsHThong_cTDienCTac" hidden="1">"CVIEC#0258#09|CVIEC#0023#05|CVIEC#1210#2K|CVIEC#0005#2K"</definedName>
    <definedName name="zIsHThong_cTDienHPhi" hidden="1">"HPHI#0258#09|HPHI#0023#05|HPHI#1210#2K|HPHI#0005#2K"</definedName>
    <definedName name="zIsHThong_cTThanh" hidden="1">"VTN"</definedName>
    <definedName name="zIsHThong_cVChuyen" hidden="1">"zVatGiaCP_89_00|zVatGiaCP_89_00|zVatGiaCP_89_00|zVatGiaCP_89_00"</definedName>
    <definedName name="zIsHThong_ShChange" hidden="1">"True|False|False|False|False|False|False|False|False|True|True|True|False|False|False|True"</definedName>
    <definedName name="zIsNghiDinh99" hidden="1">FALSE()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l">#REF!</definedName>
    <definedName name="Zw">#REF!</definedName>
    <definedName name="ZXD">#REF!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599" i="1" l="1"/>
  <c r="B598" i="1"/>
  <c r="B597" i="1"/>
  <c r="B596" i="1"/>
  <c r="B595" i="1"/>
  <c r="B594" i="1"/>
  <c r="B593" i="1"/>
  <c r="G592" i="1"/>
  <c r="B592" i="1"/>
  <c r="B591" i="1"/>
  <c r="B590" i="1"/>
  <c r="B589" i="1"/>
  <c r="B588" i="1"/>
  <c r="B587" i="1"/>
  <c r="B586" i="1"/>
  <c r="B585" i="1"/>
  <c r="G584" i="1"/>
  <c r="B584" i="1"/>
  <c r="B583" i="1"/>
  <c r="B582" i="1"/>
  <c r="B581" i="1"/>
  <c r="B580" i="1"/>
  <c r="B579" i="1"/>
  <c r="G578" i="1"/>
  <c r="B578" i="1"/>
  <c r="B577" i="1"/>
  <c r="B576" i="1"/>
  <c r="B575" i="1"/>
  <c r="B574" i="1"/>
  <c r="B573" i="1"/>
  <c r="G572" i="1"/>
  <c r="B572" i="1"/>
  <c r="B571" i="1"/>
  <c r="B570" i="1"/>
  <c r="B569" i="1"/>
  <c r="B568" i="1"/>
  <c r="B567" i="1"/>
  <c r="B566" i="1"/>
  <c r="G565" i="1"/>
  <c r="B565" i="1"/>
  <c r="B564" i="1"/>
  <c r="B563" i="1"/>
  <c r="B562" i="1"/>
  <c r="B561" i="1"/>
  <c r="B560" i="1"/>
  <c r="B559" i="1"/>
  <c r="G558" i="1"/>
  <c r="B558" i="1"/>
  <c r="B557" i="1"/>
  <c r="B556" i="1"/>
  <c r="B555" i="1"/>
  <c r="B554" i="1"/>
  <c r="G553" i="1"/>
  <c r="B553" i="1"/>
  <c r="B552" i="1"/>
  <c r="B551" i="1"/>
  <c r="B550" i="1"/>
  <c r="B549" i="1"/>
  <c r="B548" i="1"/>
  <c r="B547" i="1"/>
  <c r="B546" i="1"/>
  <c r="B545" i="1"/>
  <c r="G544" i="1"/>
  <c r="B544" i="1"/>
  <c r="B543" i="1"/>
  <c r="B542" i="1"/>
  <c r="B541" i="1"/>
  <c r="B540" i="1"/>
  <c r="B539" i="1"/>
  <c r="B538" i="1"/>
  <c r="B537" i="1"/>
  <c r="G536" i="1"/>
  <c r="B536" i="1"/>
  <c r="B534" i="1"/>
  <c r="B533" i="1"/>
  <c r="B532" i="1"/>
  <c r="B531" i="1"/>
  <c r="G530" i="1"/>
  <c r="B530" i="1"/>
  <c r="B529" i="1"/>
  <c r="B528" i="1"/>
  <c r="B527" i="1"/>
  <c r="B526" i="1"/>
  <c r="G525" i="1"/>
  <c r="B525" i="1"/>
  <c r="B524" i="1"/>
  <c r="B523" i="1"/>
  <c r="B522" i="1"/>
  <c r="B521" i="1"/>
  <c r="G520" i="1"/>
  <c r="B520" i="1"/>
  <c r="B519" i="1"/>
  <c r="B518" i="1"/>
  <c r="B517" i="1"/>
  <c r="B516" i="1"/>
  <c r="B515" i="1"/>
  <c r="G514" i="1"/>
  <c r="B514" i="1"/>
  <c r="B513" i="1"/>
  <c r="B512" i="1"/>
  <c r="B511" i="1"/>
  <c r="B510" i="1"/>
  <c r="B509" i="1"/>
  <c r="G508" i="1"/>
  <c r="B508" i="1"/>
  <c r="I506" i="1"/>
  <c r="B506" i="1"/>
  <c r="B505" i="1"/>
  <c r="B504" i="1"/>
  <c r="G503" i="1"/>
  <c r="B503" i="1"/>
  <c r="B502" i="1"/>
  <c r="B501" i="1"/>
  <c r="B500" i="1"/>
  <c r="G499" i="1"/>
  <c r="B499" i="1"/>
  <c r="B498" i="1"/>
  <c r="B497" i="1"/>
  <c r="B496" i="1"/>
  <c r="G495" i="1"/>
  <c r="B495" i="1"/>
  <c r="B494" i="1"/>
  <c r="B493" i="1"/>
  <c r="B492" i="1"/>
  <c r="G491" i="1"/>
  <c r="B491" i="1"/>
  <c r="I490" i="1"/>
  <c r="B490" i="1"/>
  <c r="B489" i="1"/>
  <c r="B488" i="1"/>
  <c r="G487" i="1"/>
  <c r="B487" i="1"/>
  <c r="B485" i="1"/>
  <c r="B484" i="1"/>
  <c r="B483" i="1"/>
  <c r="B482" i="1"/>
  <c r="B481" i="1"/>
  <c r="B480" i="1"/>
  <c r="B479" i="1"/>
  <c r="G478" i="1"/>
  <c r="B478" i="1"/>
  <c r="B477" i="1"/>
  <c r="B476" i="1"/>
  <c r="B475" i="1"/>
  <c r="B474" i="1"/>
  <c r="B473" i="1"/>
  <c r="B472" i="1"/>
  <c r="B471" i="1"/>
  <c r="B470" i="1"/>
  <c r="B469" i="1"/>
  <c r="B468" i="1"/>
  <c r="B467" i="1"/>
  <c r="G466" i="1"/>
  <c r="B466" i="1"/>
  <c r="B465" i="1"/>
  <c r="B464" i="1"/>
  <c r="B463" i="1"/>
  <c r="B462" i="1"/>
  <c r="B461" i="1"/>
  <c r="B460" i="1"/>
  <c r="B459" i="1"/>
  <c r="B458" i="1"/>
  <c r="B457" i="1"/>
  <c r="B456" i="1"/>
  <c r="B455" i="1"/>
  <c r="G454" i="1"/>
  <c r="B454" i="1"/>
  <c r="B452" i="1"/>
  <c r="B451" i="1"/>
  <c r="G450" i="1"/>
  <c r="B450" i="1"/>
  <c r="B449" i="1"/>
  <c r="B448" i="1"/>
  <c r="B447" i="1"/>
  <c r="B446" i="1"/>
  <c r="B445" i="1"/>
  <c r="B444" i="1"/>
  <c r="B443" i="1"/>
  <c r="B442" i="1"/>
  <c r="B441" i="1"/>
  <c r="G440" i="1"/>
  <c r="B440" i="1"/>
  <c r="B439" i="1"/>
  <c r="B438" i="1"/>
  <c r="B437" i="1"/>
  <c r="B436" i="1"/>
  <c r="G435" i="1"/>
  <c r="B435" i="1"/>
  <c r="B434" i="1"/>
  <c r="B433" i="1"/>
  <c r="B432" i="1"/>
  <c r="B431" i="1"/>
  <c r="B430" i="1"/>
  <c r="B429" i="1"/>
  <c r="B428" i="1"/>
  <c r="B427" i="1"/>
  <c r="G426" i="1"/>
  <c r="B426" i="1"/>
  <c r="B425" i="1"/>
  <c r="B424" i="1"/>
  <c r="B423" i="1"/>
  <c r="B422" i="1"/>
  <c r="B421" i="1"/>
  <c r="B420" i="1"/>
  <c r="I420" i="1" s="1"/>
  <c r="G419" i="1"/>
  <c r="B419" i="1"/>
  <c r="B418" i="1"/>
  <c r="B417" i="1"/>
  <c r="B416" i="1"/>
  <c r="B415" i="1"/>
  <c r="B414" i="1"/>
  <c r="B413" i="1"/>
  <c r="G412" i="1"/>
  <c r="B412" i="1"/>
  <c r="B411" i="1"/>
  <c r="B410" i="1"/>
  <c r="B409" i="1"/>
  <c r="I408" i="1"/>
  <c r="B408" i="1"/>
  <c r="B407" i="1"/>
  <c r="G406" i="1"/>
  <c r="B406" i="1"/>
  <c r="B405" i="1"/>
  <c r="B404" i="1"/>
  <c r="B403" i="1"/>
  <c r="B402" i="1"/>
  <c r="B401" i="1"/>
  <c r="B400" i="1"/>
  <c r="G399" i="1"/>
  <c r="B399" i="1"/>
  <c r="B398" i="1"/>
  <c r="B397" i="1"/>
  <c r="B396" i="1"/>
  <c r="B395" i="1"/>
  <c r="B394" i="1"/>
  <c r="G393" i="1"/>
  <c r="B393" i="1"/>
  <c r="B392" i="1"/>
  <c r="B391" i="1"/>
  <c r="B390" i="1"/>
  <c r="B389" i="1"/>
  <c r="G388" i="1"/>
  <c r="B388" i="1"/>
  <c r="B387" i="1"/>
  <c r="B386" i="1"/>
  <c r="B385" i="1"/>
  <c r="B384" i="1"/>
  <c r="B383" i="1"/>
  <c r="B382" i="1"/>
  <c r="G381" i="1"/>
  <c r="B381" i="1"/>
  <c r="B380" i="1"/>
  <c r="B379" i="1"/>
  <c r="B378" i="1"/>
  <c r="B377" i="1"/>
  <c r="G376" i="1"/>
  <c r="B376" i="1"/>
  <c r="B375" i="1"/>
  <c r="B374" i="1"/>
  <c r="B373" i="1"/>
  <c r="B372" i="1"/>
  <c r="G371" i="1"/>
  <c r="B371" i="1"/>
  <c r="B370" i="1"/>
  <c r="B369" i="1"/>
  <c r="B368" i="1"/>
  <c r="G367" i="1"/>
  <c r="B367" i="1"/>
  <c r="B366" i="1"/>
  <c r="B365" i="1"/>
  <c r="I365" i="1" s="1"/>
  <c r="B364" i="1"/>
  <c r="B363" i="1"/>
  <c r="G362" i="1"/>
  <c r="B362" i="1"/>
  <c r="B361" i="1"/>
  <c r="B360" i="1"/>
  <c r="B359" i="1"/>
  <c r="G358" i="1"/>
  <c r="B358" i="1"/>
  <c r="B357" i="1"/>
  <c r="B356" i="1"/>
  <c r="B355" i="1"/>
  <c r="G354" i="1"/>
  <c r="B354" i="1"/>
  <c r="B353" i="1"/>
  <c r="B352" i="1"/>
  <c r="B351" i="1"/>
  <c r="G350" i="1"/>
  <c r="B350" i="1"/>
  <c r="B349" i="1"/>
  <c r="B348" i="1"/>
  <c r="B347" i="1"/>
  <c r="B346" i="1"/>
  <c r="G345" i="1"/>
  <c r="B345" i="1"/>
  <c r="B344" i="1"/>
  <c r="B343" i="1"/>
  <c r="B342" i="1"/>
  <c r="B341" i="1"/>
  <c r="B340" i="1"/>
  <c r="G339" i="1"/>
  <c r="B339" i="1"/>
  <c r="B337" i="1"/>
  <c r="I337" i="1" s="1"/>
  <c r="B336" i="1"/>
  <c r="B335" i="1"/>
  <c r="B334" i="1"/>
  <c r="G333" i="1"/>
  <c r="B333" i="1"/>
  <c r="B332" i="1"/>
  <c r="B331" i="1"/>
  <c r="B330" i="1"/>
  <c r="B329" i="1"/>
  <c r="G328" i="1"/>
  <c r="B328" i="1"/>
  <c r="B327" i="1"/>
  <c r="B326" i="1"/>
  <c r="B325" i="1"/>
  <c r="B324" i="1"/>
  <c r="G323" i="1"/>
  <c r="B323" i="1"/>
  <c r="B322" i="1"/>
  <c r="B321" i="1"/>
  <c r="B320" i="1"/>
  <c r="B319" i="1"/>
  <c r="B318" i="1"/>
  <c r="G317" i="1"/>
  <c r="B317" i="1"/>
  <c r="B315" i="1"/>
  <c r="B314" i="1"/>
  <c r="B313" i="1"/>
  <c r="B312" i="1"/>
  <c r="G311" i="1"/>
  <c r="B311" i="1"/>
  <c r="B309" i="1"/>
  <c r="B308" i="1"/>
  <c r="G307" i="1"/>
  <c r="B307" i="1"/>
  <c r="B306" i="1"/>
  <c r="B305" i="1"/>
  <c r="B304" i="1"/>
  <c r="G303" i="1"/>
  <c r="B303" i="1"/>
  <c r="B302" i="1"/>
  <c r="B301" i="1"/>
  <c r="B300" i="1"/>
  <c r="B299" i="1"/>
  <c r="B298" i="1"/>
  <c r="B297" i="1"/>
  <c r="B296" i="1"/>
  <c r="B295" i="1"/>
  <c r="I294" i="1"/>
  <c r="B294" i="1"/>
  <c r="B293" i="1"/>
  <c r="G292" i="1"/>
  <c r="B292" i="1"/>
  <c r="B291" i="1"/>
  <c r="B290" i="1"/>
  <c r="B289" i="1"/>
  <c r="B288" i="1"/>
  <c r="B287" i="1"/>
  <c r="B286" i="1"/>
  <c r="B285" i="1"/>
  <c r="B284" i="1"/>
  <c r="B283" i="1"/>
  <c r="G282" i="1"/>
  <c r="B282" i="1"/>
  <c r="B281" i="1"/>
  <c r="B280" i="1"/>
  <c r="B279" i="1"/>
  <c r="B278" i="1"/>
  <c r="B277" i="1"/>
  <c r="G276" i="1"/>
  <c r="B276" i="1"/>
  <c r="B275" i="1"/>
  <c r="B274" i="1"/>
  <c r="B273" i="1"/>
  <c r="B272" i="1"/>
  <c r="B271" i="1"/>
  <c r="B270" i="1"/>
  <c r="G269" i="1"/>
  <c r="B269" i="1"/>
  <c r="C269" i="1" s="1"/>
  <c r="B268" i="1"/>
  <c r="B267" i="1"/>
  <c r="B266" i="1"/>
  <c r="B265" i="1"/>
  <c r="B264" i="1"/>
  <c r="G263" i="1"/>
  <c r="B263" i="1"/>
  <c r="B262" i="1"/>
  <c r="B261" i="1"/>
  <c r="B260" i="1"/>
  <c r="G259" i="1"/>
  <c r="B259" i="1"/>
  <c r="B258" i="1"/>
  <c r="B257" i="1"/>
  <c r="B256" i="1"/>
  <c r="G255" i="1"/>
  <c r="B255" i="1"/>
  <c r="B254" i="1"/>
  <c r="B253" i="1"/>
  <c r="B252" i="1"/>
  <c r="B251" i="1"/>
  <c r="B250" i="1"/>
  <c r="G249" i="1"/>
  <c r="B249" i="1"/>
  <c r="B248" i="1"/>
  <c r="B247" i="1"/>
  <c r="B246" i="1"/>
  <c r="B245" i="1"/>
  <c r="B244" i="1"/>
  <c r="G243" i="1"/>
  <c r="B243" i="1"/>
  <c r="B242" i="1"/>
  <c r="B241" i="1"/>
  <c r="B240" i="1"/>
  <c r="B239" i="1"/>
  <c r="G238" i="1"/>
  <c r="B238" i="1"/>
  <c r="B237" i="1"/>
  <c r="B236" i="1"/>
  <c r="B235" i="1"/>
  <c r="B234" i="1"/>
  <c r="G233" i="1"/>
  <c r="B233" i="1"/>
  <c r="B232" i="1"/>
  <c r="B231" i="1"/>
  <c r="B230" i="1"/>
  <c r="B229" i="1"/>
  <c r="G228" i="1"/>
  <c r="B228" i="1"/>
  <c r="B227" i="1"/>
  <c r="B226" i="1"/>
  <c r="B225" i="1"/>
  <c r="B224" i="1"/>
  <c r="B223" i="1"/>
  <c r="G222" i="1"/>
  <c r="B222" i="1"/>
  <c r="B221" i="1"/>
  <c r="B220" i="1"/>
  <c r="B219" i="1"/>
  <c r="B218" i="1"/>
  <c r="B217" i="1"/>
  <c r="G216" i="1"/>
  <c r="B216" i="1"/>
  <c r="B215" i="1"/>
  <c r="B214" i="1"/>
  <c r="B213" i="1"/>
  <c r="B212" i="1"/>
  <c r="G211" i="1"/>
  <c r="B211" i="1"/>
  <c r="B210" i="1"/>
  <c r="B209" i="1"/>
  <c r="G208" i="1"/>
  <c r="B208" i="1"/>
  <c r="B207" i="1"/>
  <c r="B206" i="1"/>
  <c r="G205" i="1"/>
  <c r="B205" i="1"/>
  <c r="B204" i="1"/>
  <c r="B203" i="1"/>
  <c r="B202" i="1"/>
  <c r="B201" i="1"/>
  <c r="B200" i="1"/>
  <c r="G199" i="1"/>
  <c r="B199" i="1"/>
  <c r="B198" i="1"/>
  <c r="B197" i="1"/>
  <c r="B196" i="1"/>
  <c r="B195" i="1"/>
  <c r="B194" i="1"/>
  <c r="G193" i="1"/>
  <c r="B193" i="1"/>
  <c r="B191" i="1"/>
  <c r="B190" i="1"/>
  <c r="B189" i="1"/>
  <c r="B188" i="1"/>
  <c r="B187" i="1"/>
  <c r="G186" i="1"/>
  <c r="B186" i="1"/>
  <c r="B185" i="1"/>
  <c r="B184" i="1"/>
  <c r="B183" i="1"/>
  <c r="B182" i="1"/>
  <c r="B181" i="1"/>
  <c r="G180" i="1"/>
  <c r="B180" i="1"/>
  <c r="B179" i="1"/>
  <c r="B178" i="1"/>
  <c r="B177" i="1"/>
  <c r="B176" i="1"/>
  <c r="B175" i="1"/>
  <c r="G174" i="1"/>
  <c r="B174" i="1"/>
  <c r="B173" i="1"/>
  <c r="I172" i="1"/>
  <c r="B172" i="1"/>
  <c r="B171" i="1"/>
  <c r="B170" i="1"/>
  <c r="B169" i="1"/>
  <c r="B168" i="1"/>
  <c r="G167" i="1"/>
  <c r="B167" i="1"/>
  <c r="B166" i="1"/>
  <c r="B165" i="1"/>
  <c r="B164" i="1"/>
  <c r="B163" i="1"/>
  <c r="B162" i="1"/>
  <c r="B161" i="1"/>
  <c r="G160" i="1"/>
  <c r="B160" i="1"/>
  <c r="B159" i="1"/>
  <c r="B158" i="1"/>
  <c r="B157" i="1"/>
  <c r="B156" i="1"/>
  <c r="B155" i="1"/>
  <c r="B154" i="1"/>
  <c r="B153" i="1"/>
  <c r="B152" i="1"/>
  <c r="B151" i="1"/>
  <c r="B150" i="1"/>
  <c r="G149" i="1"/>
  <c r="B149" i="1"/>
  <c r="B148" i="1"/>
  <c r="B147" i="1"/>
  <c r="B146" i="1"/>
  <c r="B145" i="1"/>
  <c r="B144" i="1"/>
  <c r="B143" i="1"/>
  <c r="G142" i="1"/>
  <c r="B142" i="1"/>
  <c r="B141" i="1"/>
  <c r="B140" i="1"/>
  <c r="B139" i="1"/>
  <c r="B138" i="1"/>
  <c r="B137" i="1"/>
  <c r="B136" i="1"/>
  <c r="B135" i="1"/>
  <c r="B134" i="1"/>
  <c r="B133" i="1"/>
  <c r="B132" i="1"/>
  <c r="G131" i="1"/>
  <c r="B131" i="1"/>
  <c r="B130" i="1"/>
  <c r="B129" i="1"/>
  <c r="B128" i="1"/>
  <c r="B127" i="1"/>
  <c r="G126" i="1"/>
  <c r="B126" i="1"/>
  <c r="B125" i="1"/>
  <c r="B124" i="1"/>
  <c r="B123" i="1"/>
  <c r="B122" i="1"/>
  <c r="G121" i="1"/>
  <c r="B121" i="1"/>
  <c r="B120" i="1"/>
  <c r="B119" i="1"/>
  <c r="B118" i="1"/>
  <c r="B117" i="1"/>
  <c r="B116" i="1"/>
  <c r="B115" i="1"/>
  <c r="B114" i="1"/>
  <c r="B113" i="1"/>
  <c r="B112" i="1"/>
  <c r="G111" i="1"/>
  <c r="B111" i="1"/>
  <c r="B110" i="1"/>
  <c r="B109" i="1"/>
  <c r="B108" i="1"/>
  <c r="B107" i="1"/>
  <c r="B106" i="1"/>
  <c r="G105" i="1"/>
  <c r="B105" i="1"/>
  <c r="B104" i="1"/>
  <c r="B103" i="1"/>
  <c r="B102" i="1"/>
  <c r="B101" i="1"/>
  <c r="B100" i="1"/>
  <c r="G99" i="1"/>
  <c r="B99" i="1"/>
  <c r="B98" i="1"/>
  <c r="B97" i="1"/>
  <c r="B96" i="1"/>
  <c r="B95" i="1"/>
  <c r="B94" i="1"/>
  <c r="B93" i="1"/>
  <c r="G92" i="1"/>
  <c r="B92" i="1"/>
  <c r="B91" i="1"/>
  <c r="B90" i="1"/>
  <c r="B89" i="1"/>
  <c r="B88" i="1"/>
  <c r="B87" i="1"/>
  <c r="G86" i="1"/>
  <c r="B86" i="1"/>
  <c r="B85" i="1"/>
  <c r="B84" i="1"/>
  <c r="B83" i="1"/>
  <c r="B82" i="1"/>
  <c r="G81" i="1"/>
  <c r="B81" i="1"/>
  <c r="B80" i="1"/>
  <c r="B79" i="1"/>
  <c r="B78" i="1"/>
  <c r="B77" i="1"/>
  <c r="B76" i="1"/>
  <c r="G75" i="1"/>
  <c r="B75" i="1"/>
  <c r="B74" i="1"/>
  <c r="B73" i="1"/>
  <c r="B72" i="1"/>
  <c r="G71" i="1"/>
  <c r="B71" i="1"/>
  <c r="B70" i="1"/>
  <c r="B69" i="1"/>
  <c r="B68" i="1"/>
  <c r="G67" i="1"/>
  <c r="B67" i="1"/>
  <c r="B66" i="1"/>
  <c r="B65" i="1"/>
  <c r="B64" i="1"/>
  <c r="B63" i="1"/>
  <c r="B62" i="1"/>
  <c r="G61" i="1"/>
  <c r="B61" i="1"/>
  <c r="B60" i="1"/>
  <c r="B59" i="1"/>
  <c r="B58" i="1"/>
  <c r="B57" i="1"/>
  <c r="B56" i="1"/>
  <c r="B55" i="1"/>
  <c r="B54" i="1"/>
  <c r="B53" i="1"/>
  <c r="G52" i="1"/>
  <c r="B52" i="1"/>
  <c r="B51" i="1"/>
  <c r="B50" i="1"/>
  <c r="B49" i="1"/>
  <c r="B48" i="1"/>
  <c r="B47" i="1"/>
  <c r="G46" i="1"/>
  <c r="B46" i="1"/>
  <c r="B45" i="1"/>
  <c r="B44" i="1"/>
  <c r="B43" i="1"/>
  <c r="B42" i="1"/>
  <c r="B41" i="1"/>
  <c r="B40" i="1"/>
  <c r="B39" i="1"/>
  <c r="G38" i="1"/>
  <c r="B38" i="1"/>
  <c r="B35" i="1"/>
  <c r="B34" i="1"/>
  <c r="B33" i="1"/>
  <c r="G32" i="1"/>
  <c r="B32" i="1"/>
  <c r="B30" i="1"/>
  <c r="B29" i="1"/>
  <c r="B28" i="1"/>
  <c r="B27" i="1"/>
  <c r="B26" i="1"/>
  <c r="B25" i="1"/>
  <c r="G24" i="1"/>
  <c r="B24" i="1"/>
  <c r="B22" i="1"/>
  <c r="B21" i="1"/>
  <c r="B20" i="1"/>
  <c r="G19" i="1"/>
  <c r="B19" i="1"/>
  <c r="B18" i="1"/>
  <c r="B17" i="1"/>
  <c r="B16" i="1"/>
  <c r="G15" i="1"/>
  <c r="B15" i="1"/>
  <c r="B14" i="1"/>
  <c r="B13" i="1"/>
  <c r="B12" i="1"/>
  <c r="B11" i="1"/>
  <c r="G10" i="1"/>
  <c r="B10" i="1"/>
  <c r="B9" i="1"/>
  <c r="B8" i="1"/>
  <c r="B7" i="1"/>
  <c r="B6" i="1"/>
  <c r="G5" i="1"/>
  <c r="B5" i="1"/>
  <c r="I599" i="1" l="1"/>
  <c r="I598" i="1"/>
  <c r="I597" i="1"/>
  <c r="I596" i="1"/>
  <c r="I595" i="1"/>
  <c r="I594" i="1"/>
  <c r="I593" i="1"/>
  <c r="C592" i="1"/>
  <c r="C593" i="1" s="1"/>
  <c r="C594" i="1" s="1"/>
  <c r="C595" i="1" s="1"/>
  <c r="C596" i="1" s="1"/>
  <c r="C597" i="1" s="1"/>
  <c r="C598" i="1" s="1"/>
  <c r="C599" i="1" s="1"/>
  <c r="I591" i="1"/>
  <c r="I590" i="1"/>
  <c r="I589" i="1"/>
  <c r="I588" i="1"/>
  <c r="I587" i="1"/>
  <c r="I586" i="1"/>
  <c r="I585" i="1"/>
  <c r="C584" i="1"/>
  <c r="C585" i="1" s="1"/>
  <c r="C586" i="1" s="1"/>
  <c r="C587" i="1" s="1"/>
  <c r="C588" i="1" s="1"/>
  <c r="C589" i="1" s="1"/>
  <c r="C590" i="1" s="1"/>
  <c r="C591" i="1" s="1"/>
  <c r="I583" i="1"/>
  <c r="I582" i="1"/>
  <c r="I581" i="1"/>
  <c r="I580" i="1"/>
  <c r="I579" i="1"/>
  <c r="C578" i="1"/>
  <c r="C579" i="1" s="1"/>
  <c r="C580" i="1" s="1"/>
  <c r="C581" i="1" s="1"/>
  <c r="C582" i="1" s="1"/>
  <c r="C583" i="1" s="1"/>
  <c r="I577" i="1"/>
  <c r="I576" i="1"/>
  <c r="I575" i="1"/>
  <c r="I574" i="1"/>
  <c r="I573" i="1"/>
  <c r="C572" i="1"/>
  <c r="C573" i="1" s="1"/>
  <c r="C574" i="1" s="1"/>
  <c r="C575" i="1" s="1"/>
  <c r="C576" i="1" s="1"/>
  <c r="C577" i="1" s="1"/>
  <c r="I571" i="1"/>
  <c r="I570" i="1"/>
  <c r="I569" i="1"/>
  <c r="I568" i="1"/>
  <c r="I567" i="1"/>
  <c r="I566" i="1"/>
  <c r="C565" i="1"/>
  <c r="C566" i="1" s="1"/>
  <c r="C567" i="1" s="1"/>
  <c r="C568" i="1" s="1"/>
  <c r="C569" i="1" s="1"/>
  <c r="C570" i="1" s="1"/>
  <c r="C571" i="1" s="1"/>
  <c r="I564" i="1"/>
  <c r="I563" i="1"/>
  <c r="I562" i="1"/>
  <c r="I561" i="1"/>
  <c r="I560" i="1"/>
  <c r="I559" i="1"/>
  <c r="C558" i="1"/>
  <c r="C559" i="1" s="1"/>
  <c r="C560" i="1" s="1"/>
  <c r="C561" i="1" s="1"/>
  <c r="C562" i="1" s="1"/>
  <c r="C563" i="1" s="1"/>
  <c r="C564" i="1" s="1"/>
  <c r="I557" i="1"/>
  <c r="I556" i="1"/>
  <c r="I555" i="1"/>
  <c r="I554" i="1"/>
  <c r="C553" i="1"/>
  <c r="C554" i="1" s="1"/>
  <c r="C555" i="1" s="1"/>
  <c r="C556" i="1" s="1"/>
  <c r="C557" i="1" s="1"/>
  <c r="I552" i="1"/>
  <c r="I551" i="1"/>
  <c r="I550" i="1"/>
  <c r="I549" i="1"/>
  <c r="I548" i="1"/>
  <c r="I547" i="1"/>
  <c r="I546" i="1"/>
  <c r="I545" i="1"/>
  <c r="C544" i="1"/>
  <c r="C545" i="1" s="1"/>
  <c r="C546" i="1" s="1"/>
  <c r="C547" i="1" s="1"/>
  <c r="C548" i="1" s="1"/>
  <c r="C549" i="1" s="1"/>
  <c r="C550" i="1" s="1"/>
  <c r="C551" i="1" s="1"/>
  <c r="C552" i="1" s="1"/>
  <c r="I543" i="1"/>
  <c r="I542" i="1"/>
  <c r="I541" i="1"/>
  <c r="I540" i="1"/>
  <c r="I539" i="1"/>
  <c r="I538" i="1"/>
  <c r="I537" i="1"/>
  <c r="C536" i="1"/>
  <c r="C537" i="1" s="1"/>
  <c r="C538" i="1" s="1"/>
  <c r="C539" i="1" s="1"/>
  <c r="C540" i="1" s="1"/>
  <c r="C541" i="1" s="1"/>
  <c r="C542" i="1" s="1"/>
  <c r="C543" i="1" s="1"/>
  <c r="I534" i="1"/>
  <c r="I533" i="1"/>
  <c r="I532" i="1"/>
  <c r="I531" i="1"/>
  <c r="C530" i="1"/>
  <c r="C531" i="1" s="1"/>
  <c r="C532" i="1" s="1"/>
  <c r="C533" i="1" s="1"/>
  <c r="C534" i="1" s="1"/>
  <c r="I529" i="1"/>
  <c r="I528" i="1"/>
  <c r="I527" i="1"/>
  <c r="I526" i="1"/>
  <c r="C525" i="1"/>
  <c r="C526" i="1" s="1"/>
  <c r="C527" i="1" s="1"/>
  <c r="C528" i="1" s="1"/>
  <c r="C529" i="1" s="1"/>
  <c r="I524" i="1"/>
  <c r="I523" i="1"/>
  <c r="I522" i="1"/>
  <c r="I521" i="1"/>
  <c r="C520" i="1"/>
  <c r="C521" i="1" s="1"/>
  <c r="C522" i="1" s="1"/>
  <c r="C523" i="1" s="1"/>
  <c r="C524" i="1" s="1"/>
  <c r="I519" i="1"/>
  <c r="I518" i="1"/>
  <c r="I517" i="1"/>
  <c r="I516" i="1"/>
  <c r="I515" i="1"/>
  <c r="C514" i="1"/>
  <c r="C515" i="1" s="1"/>
  <c r="C516" i="1" s="1"/>
  <c r="C517" i="1" s="1"/>
  <c r="C518" i="1" s="1"/>
  <c r="C519" i="1" s="1"/>
  <c r="I513" i="1"/>
  <c r="I512" i="1"/>
  <c r="I511" i="1"/>
  <c r="I510" i="1"/>
  <c r="I509" i="1"/>
  <c r="C508" i="1"/>
  <c r="C509" i="1" s="1"/>
  <c r="C510" i="1" s="1"/>
  <c r="C511" i="1" s="1"/>
  <c r="C512" i="1" s="1"/>
  <c r="C513" i="1" s="1"/>
  <c r="I505" i="1"/>
  <c r="I504" i="1"/>
  <c r="C503" i="1"/>
  <c r="C504" i="1" s="1"/>
  <c r="C505" i="1" s="1"/>
  <c r="C506" i="1" s="1"/>
  <c r="I502" i="1"/>
  <c r="I501" i="1"/>
  <c r="I500" i="1"/>
  <c r="C499" i="1"/>
  <c r="C500" i="1" s="1"/>
  <c r="C501" i="1" s="1"/>
  <c r="C502" i="1" s="1"/>
  <c r="I498" i="1"/>
  <c r="I497" i="1"/>
  <c r="I496" i="1"/>
  <c r="C495" i="1"/>
  <c r="C496" i="1" s="1"/>
  <c r="C497" i="1" s="1"/>
  <c r="C498" i="1" s="1"/>
  <c r="I494" i="1"/>
  <c r="I493" i="1"/>
  <c r="I492" i="1"/>
  <c r="C491" i="1"/>
  <c r="C492" i="1" s="1"/>
  <c r="C493" i="1" s="1"/>
  <c r="C494" i="1" s="1"/>
  <c r="I489" i="1"/>
  <c r="I488" i="1"/>
  <c r="C487" i="1"/>
  <c r="C488" i="1" s="1"/>
  <c r="C489" i="1" s="1"/>
  <c r="C490" i="1" s="1"/>
  <c r="I485" i="1"/>
  <c r="I484" i="1"/>
  <c r="I483" i="1"/>
  <c r="I482" i="1"/>
  <c r="I481" i="1"/>
  <c r="I480" i="1"/>
  <c r="I479" i="1"/>
  <c r="C478" i="1"/>
  <c r="C479" i="1" s="1"/>
  <c r="C480" i="1" s="1"/>
  <c r="C481" i="1" s="1"/>
  <c r="C482" i="1" s="1"/>
  <c r="C483" i="1" s="1"/>
  <c r="C484" i="1" s="1"/>
  <c r="C485" i="1" s="1"/>
  <c r="I477" i="1"/>
  <c r="I476" i="1"/>
  <c r="I475" i="1"/>
  <c r="I474" i="1"/>
  <c r="I473" i="1"/>
  <c r="I472" i="1"/>
  <c r="I471" i="1"/>
  <c r="I470" i="1"/>
  <c r="I469" i="1"/>
  <c r="I468" i="1"/>
  <c r="I467" i="1"/>
  <c r="C466" i="1"/>
  <c r="C467" i="1" s="1"/>
  <c r="C468" i="1" s="1"/>
  <c r="C469" i="1" s="1"/>
  <c r="C470" i="1" s="1"/>
  <c r="C471" i="1" s="1"/>
  <c r="C472" i="1" s="1"/>
  <c r="C473" i="1" s="1"/>
  <c r="C474" i="1" s="1"/>
  <c r="C475" i="1" s="1"/>
  <c r="C476" i="1" s="1"/>
  <c r="C477" i="1" s="1"/>
  <c r="I465" i="1"/>
  <c r="I464" i="1"/>
  <c r="I463" i="1"/>
  <c r="I462" i="1"/>
  <c r="I461" i="1"/>
  <c r="I460" i="1"/>
  <c r="I459" i="1"/>
  <c r="I458" i="1"/>
  <c r="I457" i="1"/>
  <c r="I456" i="1"/>
  <c r="I455" i="1"/>
  <c r="C454" i="1"/>
  <c r="C455" i="1" s="1"/>
  <c r="C456" i="1" s="1"/>
  <c r="C457" i="1" s="1"/>
  <c r="C458" i="1" s="1"/>
  <c r="C459" i="1" s="1"/>
  <c r="C460" i="1" s="1"/>
  <c r="C461" i="1" s="1"/>
  <c r="C462" i="1" s="1"/>
  <c r="C463" i="1" s="1"/>
  <c r="C464" i="1" s="1"/>
  <c r="C465" i="1" s="1"/>
  <c r="I452" i="1"/>
  <c r="I451" i="1"/>
  <c r="C450" i="1"/>
  <c r="C451" i="1" s="1"/>
  <c r="C452" i="1" s="1"/>
  <c r="I449" i="1"/>
  <c r="I448" i="1"/>
  <c r="I447" i="1"/>
  <c r="I446" i="1"/>
  <c r="I445" i="1"/>
  <c r="I444" i="1"/>
  <c r="I443" i="1"/>
  <c r="I442" i="1"/>
  <c r="I441" i="1"/>
  <c r="C440" i="1"/>
  <c r="C441" i="1" s="1"/>
  <c r="C442" i="1" s="1"/>
  <c r="C443" i="1" s="1"/>
  <c r="C444" i="1" s="1"/>
  <c r="C445" i="1" s="1"/>
  <c r="C446" i="1" s="1"/>
  <c r="C447" i="1" s="1"/>
  <c r="C448" i="1" s="1"/>
  <c r="C449" i="1" s="1"/>
  <c r="I439" i="1"/>
  <c r="I438" i="1"/>
  <c r="I437" i="1"/>
  <c r="I436" i="1"/>
  <c r="C435" i="1"/>
  <c r="C436" i="1" s="1"/>
  <c r="C437" i="1" s="1"/>
  <c r="C438" i="1" s="1"/>
  <c r="C439" i="1" s="1"/>
  <c r="I434" i="1"/>
  <c r="I433" i="1"/>
  <c r="I432" i="1"/>
  <c r="I431" i="1"/>
  <c r="I430" i="1"/>
  <c r="I429" i="1"/>
  <c r="I428" i="1"/>
  <c r="I427" i="1"/>
  <c r="C426" i="1"/>
  <c r="C427" i="1" s="1"/>
  <c r="C428" i="1" s="1"/>
  <c r="C429" i="1" s="1"/>
  <c r="C430" i="1" s="1"/>
  <c r="C431" i="1" s="1"/>
  <c r="C432" i="1" s="1"/>
  <c r="C433" i="1" s="1"/>
  <c r="C434" i="1" s="1"/>
  <c r="I425" i="1"/>
  <c r="I424" i="1"/>
  <c r="I423" i="1"/>
  <c r="I422" i="1"/>
  <c r="I421" i="1"/>
  <c r="C419" i="1"/>
  <c r="C420" i="1" s="1"/>
  <c r="C421" i="1" s="1"/>
  <c r="C422" i="1" s="1"/>
  <c r="C423" i="1" s="1"/>
  <c r="C424" i="1" s="1"/>
  <c r="C425" i="1" s="1"/>
  <c r="I418" i="1"/>
  <c r="I417" i="1"/>
  <c r="I416" i="1"/>
  <c r="I415" i="1"/>
  <c r="I414" i="1"/>
  <c r="I413" i="1"/>
  <c r="C412" i="1"/>
  <c r="C413" i="1" s="1"/>
  <c r="C414" i="1" s="1"/>
  <c r="C415" i="1" s="1"/>
  <c r="C416" i="1" s="1"/>
  <c r="C417" i="1" s="1"/>
  <c r="C418" i="1" s="1"/>
  <c r="I411" i="1"/>
  <c r="I410" i="1"/>
  <c r="I407" i="1"/>
  <c r="C406" i="1"/>
  <c r="C407" i="1" s="1"/>
  <c r="C408" i="1" s="1"/>
  <c r="C409" i="1" s="1"/>
  <c r="C410" i="1" s="1"/>
  <c r="C411" i="1" s="1"/>
  <c r="I405" i="1"/>
  <c r="I404" i="1"/>
  <c r="I403" i="1"/>
  <c r="I402" i="1"/>
  <c r="I401" i="1"/>
  <c r="I400" i="1"/>
  <c r="C399" i="1"/>
  <c r="C400" i="1" s="1"/>
  <c r="C401" i="1" s="1"/>
  <c r="C402" i="1" s="1"/>
  <c r="C403" i="1" s="1"/>
  <c r="C404" i="1" s="1"/>
  <c r="C405" i="1" s="1"/>
  <c r="I398" i="1"/>
  <c r="I397" i="1"/>
  <c r="I396" i="1"/>
  <c r="I395" i="1"/>
  <c r="I394" i="1"/>
  <c r="C393" i="1"/>
  <c r="C394" i="1" s="1"/>
  <c r="C395" i="1" s="1"/>
  <c r="C396" i="1" s="1"/>
  <c r="C397" i="1" s="1"/>
  <c r="C398" i="1" s="1"/>
  <c r="I392" i="1"/>
  <c r="I391" i="1"/>
  <c r="I390" i="1"/>
  <c r="I389" i="1"/>
  <c r="C388" i="1"/>
  <c r="C389" i="1" s="1"/>
  <c r="C390" i="1" s="1"/>
  <c r="C391" i="1" s="1"/>
  <c r="C392" i="1" s="1"/>
  <c r="I387" i="1"/>
  <c r="I386" i="1"/>
  <c r="I385" i="1"/>
  <c r="I384" i="1"/>
  <c r="I383" i="1"/>
  <c r="I382" i="1"/>
  <c r="C381" i="1"/>
  <c r="C382" i="1" s="1"/>
  <c r="C383" i="1" s="1"/>
  <c r="C384" i="1" s="1"/>
  <c r="C385" i="1" s="1"/>
  <c r="C386" i="1" s="1"/>
  <c r="C387" i="1" s="1"/>
  <c r="I380" i="1"/>
  <c r="I379" i="1"/>
  <c r="I378" i="1"/>
  <c r="I377" i="1"/>
  <c r="C376" i="1"/>
  <c r="C377" i="1" s="1"/>
  <c r="C378" i="1" s="1"/>
  <c r="C379" i="1" s="1"/>
  <c r="C380" i="1" s="1"/>
  <c r="I375" i="1"/>
  <c r="I374" i="1"/>
  <c r="I373" i="1"/>
  <c r="I372" i="1"/>
  <c r="C371" i="1"/>
  <c r="C372" i="1" s="1"/>
  <c r="C373" i="1" s="1"/>
  <c r="C374" i="1" s="1"/>
  <c r="C375" i="1" s="1"/>
  <c r="I370" i="1"/>
  <c r="I369" i="1"/>
  <c r="C368" i="1"/>
  <c r="C369" i="1" s="1"/>
  <c r="C370" i="1" s="1"/>
  <c r="I368" i="1"/>
  <c r="C367" i="1"/>
  <c r="I366" i="1"/>
  <c r="I364" i="1"/>
  <c r="I363" i="1"/>
  <c r="C362" i="1"/>
  <c r="C363" i="1" s="1"/>
  <c r="C364" i="1" s="1"/>
  <c r="C365" i="1" s="1"/>
  <c r="C366" i="1" s="1"/>
  <c r="I361" i="1"/>
  <c r="I360" i="1"/>
  <c r="I359" i="1"/>
  <c r="C358" i="1"/>
  <c r="C359" i="1" s="1"/>
  <c r="C360" i="1" s="1"/>
  <c r="C361" i="1" s="1"/>
  <c r="I357" i="1"/>
  <c r="I356" i="1"/>
  <c r="I355" i="1"/>
  <c r="C354" i="1"/>
  <c r="C355" i="1" s="1"/>
  <c r="C356" i="1" s="1"/>
  <c r="C357" i="1" s="1"/>
  <c r="I353" i="1"/>
  <c r="I352" i="1"/>
  <c r="I351" i="1"/>
  <c r="C351" i="1"/>
  <c r="C352" i="1" s="1"/>
  <c r="C353" i="1" s="1"/>
  <c r="C350" i="1"/>
  <c r="I349" i="1"/>
  <c r="I348" i="1"/>
  <c r="I347" i="1"/>
  <c r="I346" i="1"/>
  <c r="C345" i="1"/>
  <c r="C346" i="1" s="1"/>
  <c r="C347" i="1" s="1"/>
  <c r="C348" i="1" s="1"/>
  <c r="C349" i="1" s="1"/>
  <c r="I344" i="1"/>
  <c r="I343" i="1"/>
  <c r="I342" i="1"/>
  <c r="I341" i="1"/>
  <c r="I340" i="1"/>
  <c r="C339" i="1"/>
  <c r="C340" i="1" s="1"/>
  <c r="C341" i="1" s="1"/>
  <c r="C342" i="1" s="1"/>
  <c r="C343" i="1" s="1"/>
  <c r="C344" i="1" s="1"/>
  <c r="I336" i="1"/>
  <c r="I335" i="1"/>
  <c r="I334" i="1"/>
  <c r="C333" i="1"/>
  <c r="C334" i="1" s="1"/>
  <c r="C335" i="1" s="1"/>
  <c r="C336" i="1" s="1"/>
  <c r="C337" i="1" s="1"/>
  <c r="I332" i="1"/>
  <c r="I331" i="1"/>
  <c r="I330" i="1"/>
  <c r="I329" i="1"/>
  <c r="C328" i="1"/>
  <c r="C329" i="1" s="1"/>
  <c r="C330" i="1" s="1"/>
  <c r="C331" i="1" s="1"/>
  <c r="C332" i="1" s="1"/>
  <c r="I327" i="1"/>
  <c r="I326" i="1"/>
  <c r="I325" i="1"/>
  <c r="I324" i="1"/>
  <c r="C323" i="1"/>
  <c r="C324" i="1" s="1"/>
  <c r="C325" i="1" s="1"/>
  <c r="C326" i="1" s="1"/>
  <c r="C327" i="1" s="1"/>
  <c r="I322" i="1"/>
  <c r="I321" i="1"/>
  <c r="I320" i="1"/>
  <c r="I319" i="1"/>
  <c r="I318" i="1"/>
  <c r="C317" i="1"/>
  <c r="C318" i="1" s="1"/>
  <c r="C319" i="1" s="1"/>
  <c r="C320" i="1" s="1"/>
  <c r="C321" i="1" s="1"/>
  <c r="C322" i="1" s="1"/>
  <c r="I315" i="1"/>
  <c r="I314" i="1"/>
  <c r="I313" i="1"/>
  <c r="I312" i="1"/>
  <c r="C311" i="1"/>
  <c r="C312" i="1" s="1"/>
  <c r="C313" i="1" s="1"/>
  <c r="C314" i="1" s="1"/>
  <c r="C315" i="1" s="1"/>
  <c r="I309" i="1"/>
  <c r="I308" i="1"/>
  <c r="C307" i="1"/>
  <c r="C308" i="1" s="1"/>
  <c r="C309" i="1" s="1"/>
  <c r="I306" i="1"/>
  <c r="I305" i="1"/>
  <c r="I304" i="1"/>
  <c r="C303" i="1"/>
  <c r="C304" i="1" s="1"/>
  <c r="C305" i="1" s="1"/>
  <c r="C306" i="1" s="1"/>
  <c r="I302" i="1"/>
  <c r="I301" i="1"/>
  <c r="I300" i="1"/>
  <c r="I299" i="1"/>
  <c r="I298" i="1"/>
  <c r="I297" i="1"/>
  <c r="I296" i="1"/>
  <c r="I295" i="1"/>
  <c r="I293" i="1"/>
  <c r="C292" i="1"/>
  <c r="C293" i="1" s="1"/>
  <c r="C294" i="1" s="1"/>
  <c r="C295" i="1" s="1"/>
  <c r="C296" i="1" s="1"/>
  <c r="C297" i="1" s="1"/>
  <c r="C298" i="1" s="1"/>
  <c r="C299" i="1" s="1"/>
  <c r="C300" i="1" s="1"/>
  <c r="C301" i="1" s="1"/>
  <c r="C302" i="1" s="1"/>
  <c r="I291" i="1"/>
  <c r="I290" i="1"/>
  <c r="I289" i="1"/>
  <c r="I288" i="1"/>
  <c r="I287" i="1"/>
  <c r="I286" i="1"/>
  <c r="I285" i="1"/>
  <c r="I284" i="1"/>
  <c r="I283" i="1"/>
  <c r="C282" i="1"/>
  <c r="C283" i="1" s="1"/>
  <c r="C284" i="1" s="1"/>
  <c r="C285" i="1" s="1"/>
  <c r="C286" i="1" s="1"/>
  <c r="C287" i="1" s="1"/>
  <c r="C288" i="1" s="1"/>
  <c r="C289" i="1" s="1"/>
  <c r="C290" i="1" s="1"/>
  <c r="C291" i="1" s="1"/>
  <c r="I281" i="1"/>
  <c r="I280" i="1"/>
  <c r="I279" i="1"/>
  <c r="I278" i="1"/>
  <c r="I277" i="1"/>
  <c r="C276" i="1"/>
  <c r="C277" i="1" s="1"/>
  <c r="C278" i="1" s="1"/>
  <c r="C279" i="1" s="1"/>
  <c r="C280" i="1" s="1"/>
  <c r="C281" i="1" s="1"/>
  <c r="I275" i="1"/>
  <c r="I274" i="1"/>
  <c r="I273" i="1"/>
  <c r="I272" i="1"/>
  <c r="I271" i="1"/>
  <c r="I270" i="1"/>
  <c r="C270" i="1"/>
  <c r="C271" i="1" s="1"/>
  <c r="C272" i="1" s="1"/>
  <c r="C273" i="1" s="1"/>
  <c r="C274" i="1" s="1"/>
  <c r="C275" i="1" s="1"/>
  <c r="I268" i="1"/>
  <c r="I267" i="1"/>
  <c r="I266" i="1"/>
  <c r="I265" i="1"/>
  <c r="I264" i="1"/>
  <c r="C264" i="1"/>
  <c r="C265" i="1" s="1"/>
  <c r="C266" i="1" s="1"/>
  <c r="C267" i="1" s="1"/>
  <c r="C268" i="1" s="1"/>
  <c r="C263" i="1"/>
  <c r="I262" i="1"/>
  <c r="I261" i="1"/>
  <c r="I260" i="1"/>
  <c r="C260" i="1"/>
  <c r="C261" i="1" s="1"/>
  <c r="C262" i="1" s="1"/>
  <c r="C259" i="1"/>
  <c r="I258" i="1"/>
  <c r="I257" i="1"/>
  <c r="I256" i="1"/>
  <c r="C255" i="1"/>
  <c r="C256" i="1" s="1"/>
  <c r="C257" i="1" s="1"/>
  <c r="C258" i="1" s="1"/>
  <c r="I254" i="1"/>
  <c r="I253" i="1"/>
  <c r="I252" i="1"/>
  <c r="I251" i="1"/>
  <c r="C250" i="1"/>
  <c r="C251" i="1" s="1"/>
  <c r="C252" i="1" s="1"/>
  <c r="C253" i="1" s="1"/>
  <c r="C254" i="1" s="1"/>
  <c r="I250" i="1"/>
  <c r="C249" i="1"/>
  <c r="I248" i="1"/>
  <c r="I247" i="1"/>
  <c r="I246" i="1"/>
  <c r="I245" i="1"/>
  <c r="I244" i="1"/>
  <c r="C243" i="1"/>
  <c r="C244" i="1" s="1"/>
  <c r="C245" i="1" s="1"/>
  <c r="C246" i="1" s="1"/>
  <c r="C247" i="1" s="1"/>
  <c r="C248" i="1" s="1"/>
  <c r="I242" i="1"/>
  <c r="I241" i="1"/>
  <c r="I240" i="1"/>
  <c r="I239" i="1"/>
  <c r="C238" i="1"/>
  <c r="C239" i="1" s="1"/>
  <c r="C240" i="1" s="1"/>
  <c r="C241" i="1" s="1"/>
  <c r="C242" i="1" s="1"/>
  <c r="I237" i="1"/>
  <c r="I236" i="1"/>
  <c r="I235" i="1"/>
  <c r="I234" i="1"/>
  <c r="C233" i="1"/>
  <c r="C234" i="1" s="1"/>
  <c r="C235" i="1" s="1"/>
  <c r="C236" i="1" s="1"/>
  <c r="C237" i="1" s="1"/>
  <c r="I232" i="1"/>
  <c r="I231" i="1"/>
  <c r="I230" i="1"/>
  <c r="I229" i="1"/>
  <c r="C228" i="1"/>
  <c r="C229" i="1" s="1"/>
  <c r="C230" i="1" s="1"/>
  <c r="C231" i="1" s="1"/>
  <c r="C232" i="1" s="1"/>
  <c r="I227" i="1"/>
  <c r="I226" i="1"/>
  <c r="I225" i="1"/>
  <c r="I224" i="1"/>
  <c r="I223" i="1"/>
  <c r="C222" i="1"/>
  <c r="C223" i="1" s="1"/>
  <c r="C224" i="1" s="1"/>
  <c r="C225" i="1" s="1"/>
  <c r="C226" i="1" s="1"/>
  <c r="C227" i="1" s="1"/>
  <c r="I221" i="1"/>
  <c r="I220" i="1"/>
  <c r="I219" i="1"/>
  <c r="I218" i="1"/>
  <c r="I217" i="1"/>
  <c r="C216" i="1"/>
  <c r="C217" i="1" s="1"/>
  <c r="C218" i="1" s="1"/>
  <c r="C219" i="1" s="1"/>
  <c r="C220" i="1" s="1"/>
  <c r="C221" i="1" s="1"/>
  <c r="I215" i="1"/>
  <c r="I214" i="1"/>
  <c r="I213" i="1"/>
  <c r="I212" i="1"/>
  <c r="C211" i="1"/>
  <c r="C212" i="1" s="1"/>
  <c r="C213" i="1" s="1"/>
  <c r="C214" i="1" s="1"/>
  <c r="C215" i="1" s="1"/>
  <c r="I210" i="1"/>
  <c r="I209" i="1"/>
  <c r="C208" i="1"/>
  <c r="C209" i="1" s="1"/>
  <c r="C210" i="1" s="1"/>
  <c r="I207" i="1"/>
  <c r="I206" i="1"/>
  <c r="C205" i="1"/>
  <c r="C206" i="1" s="1"/>
  <c r="C207" i="1" s="1"/>
  <c r="I204" i="1"/>
  <c r="I203" i="1"/>
  <c r="I202" i="1"/>
  <c r="I201" i="1"/>
  <c r="I200" i="1"/>
  <c r="C199" i="1"/>
  <c r="C200" i="1" s="1"/>
  <c r="C201" i="1" s="1"/>
  <c r="C202" i="1" s="1"/>
  <c r="C203" i="1" s="1"/>
  <c r="C204" i="1" s="1"/>
  <c r="I198" i="1"/>
  <c r="I197" i="1"/>
  <c r="I196" i="1"/>
  <c r="I195" i="1"/>
  <c r="I194" i="1"/>
  <c r="C193" i="1"/>
  <c r="C194" i="1" s="1"/>
  <c r="C195" i="1" s="1"/>
  <c r="C196" i="1" s="1"/>
  <c r="C197" i="1" s="1"/>
  <c r="C198" i="1" s="1"/>
  <c r="I191" i="1"/>
  <c r="I190" i="1"/>
  <c r="I189" i="1"/>
  <c r="I188" i="1"/>
  <c r="I187" i="1"/>
  <c r="C186" i="1"/>
  <c r="C187" i="1" s="1"/>
  <c r="C188" i="1" s="1"/>
  <c r="C189" i="1" s="1"/>
  <c r="C190" i="1" s="1"/>
  <c r="C191" i="1" s="1"/>
  <c r="I185" i="1"/>
  <c r="I184" i="1"/>
  <c r="I183" i="1"/>
  <c r="I182" i="1"/>
  <c r="I181" i="1"/>
  <c r="C180" i="1"/>
  <c r="C181" i="1" s="1"/>
  <c r="C182" i="1" s="1"/>
  <c r="C183" i="1" s="1"/>
  <c r="C184" i="1" s="1"/>
  <c r="C185" i="1" s="1"/>
  <c r="I179" i="1"/>
  <c r="I178" i="1"/>
  <c r="I177" i="1"/>
  <c r="I176" i="1"/>
  <c r="I175" i="1"/>
  <c r="C174" i="1"/>
  <c r="C175" i="1" s="1"/>
  <c r="C176" i="1" s="1"/>
  <c r="C177" i="1" s="1"/>
  <c r="C178" i="1" s="1"/>
  <c r="C179" i="1" s="1"/>
  <c r="I173" i="1"/>
  <c r="I171" i="1"/>
  <c r="I170" i="1"/>
  <c r="I169" i="1"/>
  <c r="I168" i="1"/>
  <c r="C167" i="1"/>
  <c r="C168" i="1" s="1"/>
  <c r="C169" i="1" s="1"/>
  <c r="C170" i="1" s="1"/>
  <c r="C171" i="1" s="1"/>
  <c r="C172" i="1" s="1"/>
  <c r="C173" i="1" s="1"/>
  <c r="I166" i="1"/>
  <c r="I165" i="1"/>
  <c r="I164" i="1"/>
  <c r="I163" i="1"/>
  <c r="I162" i="1"/>
  <c r="I161" i="1"/>
  <c r="C160" i="1"/>
  <c r="C161" i="1" s="1"/>
  <c r="C162" i="1" s="1"/>
  <c r="C163" i="1" s="1"/>
  <c r="C164" i="1" s="1"/>
  <c r="C165" i="1" s="1"/>
  <c r="C166" i="1" s="1"/>
  <c r="I159" i="1"/>
  <c r="I158" i="1"/>
  <c r="I157" i="1"/>
  <c r="I156" i="1"/>
  <c r="I155" i="1"/>
  <c r="I154" i="1"/>
  <c r="I153" i="1"/>
  <c r="I152" i="1"/>
  <c r="I151" i="1"/>
  <c r="I150" i="1"/>
  <c r="C149" i="1"/>
  <c r="C150" i="1" s="1"/>
  <c r="C151" i="1" s="1"/>
  <c r="C152" i="1" s="1"/>
  <c r="C153" i="1" s="1"/>
  <c r="C154" i="1" s="1"/>
  <c r="C155" i="1" s="1"/>
  <c r="C156" i="1" s="1"/>
  <c r="C157" i="1" s="1"/>
  <c r="C158" i="1" s="1"/>
  <c r="C159" i="1" s="1"/>
  <c r="I148" i="1"/>
  <c r="I147" i="1"/>
  <c r="I146" i="1"/>
  <c r="I145" i="1"/>
  <c r="I144" i="1"/>
  <c r="I143" i="1"/>
  <c r="C143" i="1"/>
  <c r="C144" i="1" s="1"/>
  <c r="C145" i="1" s="1"/>
  <c r="C146" i="1" s="1"/>
  <c r="C147" i="1" s="1"/>
  <c r="C148" i="1" s="1"/>
  <c r="C142" i="1"/>
  <c r="I141" i="1"/>
  <c r="I140" i="1"/>
  <c r="I139" i="1"/>
  <c r="I138" i="1"/>
  <c r="I136" i="1"/>
  <c r="I135" i="1"/>
  <c r="I134" i="1"/>
  <c r="I133" i="1"/>
  <c r="I132" i="1"/>
  <c r="C131" i="1"/>
  <c r="C132" i="1" s="1"/>
  <c r="C133" i="1" s="1"/>
  <c r="C134" i="1" s="1"/>
  <c r="C135" i="1" s="1"/>
  <c r="C136" i="1" s="1"/>
  <c r="C137" i="1" s="1"/>
  <c r="C138" i="1" s="1"/>
  <c r="C139" i="1" s="1"/>
  <c r="C140" i="1" s="1"/>
  <c r="C141" i="1" s="1"/>
  <c r="I130" i="1"/>
  <c r="I129" i="1"/>
  <c r="I128" i="1"/>
  <c r="I127" i="1"/>
  <c r="C127" i="1"/>
  <c r="C128" i="1" s="1"/>
  <c r="C129" i="1" s="1"/>
  <c r="C130" i="1" s="1"/>
  <c r="C126" i="1"/>
  <c r="I125" i="1"/>
  <c r="I124" i="1"/>
  <c r="I123" i="1"/>
  <c r="I122" i="1"/>
  <c r="C121" i="1"/>
  <c r="C122" i="1" s="1"/>
  <c r="C123" i="1" s="1"/>
  <c r="C124" i="1" s="1"/>
  <c r="C125" i="1" s="1"/>
  <c r="I120" i="1"/>
  <c r="I119" i="1"/>
  <c r="I118" i="1"/>
  <c r="I117" i="1"/>
  <c r="I116" i="1"/>
  <c r="I115" i="1"/>
  <c r="I114" i="1"/>
  <c r="I113" i="1"/>
  <c r="I112" i="1"/>
  <c r="C111" i="1"/>
  <c r="C112" i="1" s="1"/>
  <c r="C113" i="1" s="1"/>
  <c r="C114" i="1" s="1"/>
  <c r="C115" i="1" s="1"/>
  <c r="C116" i="1" s="1"/>
  <c r="C117" i="1" s="1"/>
  <c r="C118" i="1" s="1"/>
  <c r="C119" i="1" s="1"/>
  <c r="C120" i="1" s="1"/>
  <c r="I110" i="1"/>
  <c r="I109" i="1"/>
  <c r="I108" i="1"/>
  <c r="I107" i="1"/>
  <c r="I106" i="1"/>
  <c r="C105" i="1"/>
  <c r="C106" i="1" s="1"/>
  <c r="C107" i="1" s="1"/>
  <c r="C108" i="1" s="1"/>
  <c r="C109" i="1" s="1"/>
  <c r="C110" i="1" s="1"/>
  <c r="I104" i="1"/>
  <c r="I103" i="1"/>
  <c r="I102" i="1"/>
  <c r="I101" i="1"/>
  <c r="I100" i="1"/>
  <c r="C99" i="1"/>
  <c r="C100" i="1" s="1"/>
  <c r="C101" i="1" s="1"/>
  <c r="C102" i="1" s="1"/>
  <c r="C103" i="1" s="1"/>
  <c r="C104" i="1" s="1"/>
  <c r="I98" i="1"/>
  <c r="I97" i="1"/>
  <c r="I96" i="1"/>
  <c r="I95" i="1"/>
  <c r="I94" i="1"/>
  <c r="I93" i="1"/>
  <c r="C92" i="1"/>
  <c r="C93" i="1" s="1"/>
  <c r="C94" i="1" s="1"/>
  <c r="C95" i="1" s="1"/>
  <c r="C96" i="1" s="1"/>
  <c r="C97" i="1" s="1"/>
  <c r="C98" i="1" s="1"/>
  <c r="I91" i="1"/>
  <c r="I90" i="1"/>
  <c r="I89" i="1"/>
  <c r="I88" i="1"/>
  <c r="I87" i="1"/>
  <c r="C86" i="1"/>
  <c r="C87" i="1" s="1"/>
  <c r="C88" i="1" s="1"/>
  <c r="C89" i="1" s="1"/>
  <c r="C90" i="1" s="1"/>
  <c r="C91" i="1" s="1"/>
  <c r="I85" i="1"/>
  <c r="I84" i="1"/>
  <c r="I83" i="1"/>
  <c r="I82" i="1"/>
  <c r="C82" i="1"/>
  <c r="C83" i="1" s="1"/>
  <c r="C84" i="1" s="1"/>
  <c r="C85" i="1" s="1"/>
  <c r="C81" i="1"/>
  <c r="I80" i="1"/>
  <c r="I79" i="1"/>
  <c r="I78" i="1"/>
  <c r="I77" i="1"/>
  <c r="I76" i="1"/>
  <c r="C75" i="1"/>
  <c r="C76" i="1" s="1"/>
  <c r="C77" i="1" s="1"/>
  <c r="C78" i="1" s="1"/>
  <c r="C79" i="1" s="1"/>
  <c r="C80" i="1" s="1"/>
  <c r="I74" i="1"/>
  <c r="I73" i="1"/>
  <c r="I72" i="1"/>
  <c r="C71" i="1"/>
  <c r="C72" i="1" s="1"/>
  <c r="C73" i="1" s="1"/>
  <c r="C74" i="1" s="1"/>
  <c r="I70" i="1"/>
  <c r="I69" i="1"/>
  <c r="I68" i="1"/>
  <c r="C67" i="1"/>
  <c r="C68" i="1" s="1"/>
  <c r="C69" i="1" s="1"/>
  <c r="C70" i="1" s="1"/>
  <c r="I66" i="1"/>
  <c r="I65" i="1"/>
  <c r="I64" i="1"/>
  <c r="I63" i="1"/>
  <c r="I62" i="1"/>
  <c r="C61" i="1"/>
  <c r="C62" i="1" s="1"/>
  <c r="C63" i="1" s="1"/>
  <c r="C64" i="1" s="1"/>
  <c r="C65" i="1" s="1"/>
  <c r="C66" i="1" s="1"/>
  <c r="I60" i="1"/>
  <c r="I59" i="1"/>
  <c r="I58" i="1"/>
  <c r="I57" i="1"/>
  <c r="I56" i="1"/>
  <c r="I55" i="1"/>
  <c r="I54" i="1"/>
  <c r="I53" i="1"/>
  <c r="C52" i="1"/>
  <c r="C53" i="1" s="1"/>
  <c r="C54" i="1" s="1"/>
  <c r="C55" i="1" s="1"/>
  <c r="C56" i="1" s="1"/>
  <c r="C57" i="1" s="1"/>
  <c r="C58" i="1" s="1"/>
  <c r="C59" i="1" s="1"/>
  <c r="C60" i="1" s="1"/>
  <c r="I51" i="1"/>
  <c r="I50" i="1"/>
  <c r="I49" i="1"/>
  <c r="I48" i="1"/>
  <c r="I47" i="1"/>
  <c r="C46" i="1"/>
  <c r="C47" i="1" s="1"/>
  <c r="C48" i="1" s="1"/>
  <c r="C49" i="1" s="1"/>
  <c r="C50" i="1" s="1"/>
  <c r="C51" i="1" s="1"/>
  <c r="I45" i="1"/>
  <c r="I44" i="1"/>
  <c r="I43" i="1"/>
  <c r="I42" i="1"/>
  <c r="I41" i="1"/>
  <c r="I40" i="1"/>
  <c r="I39" i="1"/>
  <c r="C39" i="1"/>
  <c r="C40" i="1" s="1"/>
  <c r="C41" i="1" s="1"/>
  <c r="C42" i="1" s="1"/>
  <c r="C43" i="1" s="1"/>
  <c r="C44" i="1" s="1"/>
  <c r="C45" i="1" s="1"/>
  <c r="C38" i="1"/>
  <c r="I35" i="1"/>
  <c r="I34" i="1"/>
  <c r="I33" i="1"/>
  <c r="C32" i="1"/>
  <c r="C33" i="1" s="1"/>
  <c r="C34" i="1" s="1"/>
  <c r="C35" i="1" s="1"/>
  <c r="I30" i="1"/>
  <c r="I29" i="1"/>
  <c r="I28" i="1"/>
  <c r="I27" i="1"/>
  <c r="I26" i="1"/>
  <c r="I25" i="1"/>
  <c r="C24" i="1"/>
  <c r="C25" i="1" s="1"/>
  <c r="C26" i="1" s="1"/>
  <c r="C27" i="1" s="1"/>
  <c r="C28" i="1" s="1"/>
  <c r="C29" i="1" s="1"/>
  <c r="C30" i="1" s="1"/>
  <c r="I22" i="1"/>
  <c r="I21" i="1"/>
  <c r="I20" i="1"/>
  <c r="C19" i="1"/>
  <c r="C20" i="1" s="1"/>
  <c r="C21" i="1" s="1"/>
  <c r="C22" i="1" s="1"/>
  <c r="I18" i="1"/>
  <c r="I17" i="1"/>
  <c r="I16" i="1"/>
  <c r="C15" i="1"/>
  <c r="C16" i="1" s="1"/>
  <c r="C17" i="1" s="1"/>
  <c r="C18" i="1" s="1"/>
  <c r="I14" i="1"/>
  <c r="I13" i="1"/>
  <c r="I12" i="1"/>
  <c r="I11" i="1"/>
  <c r="C10" i="1"/>
  <c r="C11" i="1" s="1"/>
  <c r="C12" i="1" s="1"/>
  <c r="C13" i="1" s="1"/>
  <c r="C14" i="1" s="1"/>
  <c r="I9" i="1"/>
  <c r="I8" i="1"/>
  <c r="I7" i="1"/>
  <c r="I6" i="1"/>
  <c r="C5" i="1"/>
  <c r="C6" i="1" l="1"/>
  <c r="C7" i="1" l="1"/>
  <c r="C8" i="1" l="1"/>
  <c r="I292" i="1" l="1"/>
  <c r="H292" i="1" s="1"/>
  <c r="I255" i="1"/>
  <c r="H255" i="1" s="1"/>
  <c r="I259" i="1"/>
  <c r="H259" i="1" s="1"/>
  <c r="I92" i="1"/>
  <c r="H92" i="1" s="1"/>
  <c r="I111" i="1"/>
  <c r="H111" i="1" s="1"/>
  <c r="I61" i="1"/>
  <c r="H61" i="1" s="1"/>
  <c r="I578" i="1"/>
  <c r="H578" i="1" s="1"/>
  <c r="I75" i="1"/>
  <c r="H75" i="1" s="1"/>
  <c r="I228" i="1"/>
  <c r="H228" i="1" s="1"/>
  <c r="I71" i="1"/>
  <c r="H71" i="1" s="1"/>
  <c r="I52" i="1"/>
  <c r="H52" i="1" s="1"/>
  <c r="I233" i="1"/>
  <c r="H233" i="1" s="1"/>
  <c r="I105" i="1"/>
  <c r="H105" i="1" s="1"/>
  <c r="I142" i="1"/>
  <c r="H142" i="1" s="1"/>
  <c r="I5" i="1"/>
  <c r="H5" i="1" s="1"/>
  <c r="I186" i="1"/>
  <c r="H186" i="1" s="1"/>
  <c r="I193" i="1"/>
  <c r="H193" i="1" s="1"/>
  <c r="I99" i="1"/>
  <c r="H99" i="1" s="1"/>
  <c r="I249" i="1"/>
  <c r="H249" i="1" s="1"/>
  <c r="I205" i="1"/>
  <c r="H205" i="1" s="1"/>
  <c r="I216" i="1"/>
  <c r="H216" i="1" s="1"/>
  <c r="I86" i="1"/>
  <c r="H86" i="1" s="1"/>
  <c r="I167" i="1"/>
  <c r="H167" i="1" s="1"/>
  <c r="I46" i="1"/>
  <c r="H46" i="1" s="1"/>
  <c r="I328" i="1"/>
  <c r="H328" i="1" s="1"/>
  <c r="I238" i="1"/>
  <c r="H238" i="1" s="1"/>
  <c r="I311" i="1"/>
  <c r="H311" i="1" s="1"/>
  <c r="I282" i="1"/>
  <c r="H282" i="1" s="1"/>
  <c r="I222" i="1"/>
  <c r="H222" i="1" s="1"/>
  <c r="I303" i="1"/>
  <c r="H303" i="1" s="1"/>
  <c r="I263" i="1"/>
  <c r="H263" i="1" s="1"/>
  <c r="I269" i="1"/>
  <c r="H269" i="1" s="1"/>
  <c r="I174" i="1"/>
  <c r="H174" i="1" s="1"/>
  <c r="I131" i="1"/>
  <c r="H131" i="1" s="1"/>
  <c r="I121" i="1"/>
  <c r="H121" i="1" s="1"/>
  <c r="C9" i="1"/>
  <c r="I399" i="1"/>
  <c r="H399" i="1" s="1"/>
  <c r="I565" i="1"/>
  <c r="H565" i="1" s="1"/>
  <c r="I558" i="1"/>
  <c r="H558" i="1" s="1"/>
  <c r="I454" i="1"/>
  <c r="H454" i="1" s="1"/>
  <c r="I32" i="1"/>
  <c r="H32" i="1" s="1"/>
  <c r="I530" i="1"/>
  <c r="H530" i="1" s="1"/>
  <c r="I358" i="1"/>
  <c r="H358" i="1" s="1"/>
  <c r="I10" i="1"/>
  <c r="H10" i="1" s="1"/>
  <c r="I24" i="1"/>
  <c r="H24" i="1" s="1"/>
  <c r="I362" i="1"/>
  <c r="H362" i="1" s="1"/>
  <c r="I367" i="1"/>
  <c r="H367" i="1" s="1"/>
  <c r="I354" i="1"/>
  <c r="H354" i="1" s="1"/>
  <c r="I572" i="1"/>
  <c r="H572" i="1" s="1"/>
  <c r="I350" i="1"/>
  <c r="H350" i="1" s="1"/>
  <c r="I520" i="1"/>
  <c r="H520" i="1" s="1"/>
  <c r="I584" i="1"/>
  <c r="H584" i="1" s="1"/>
  <c r="I393" i="1"/>
  <c r="H393" i="1" s="1"/>
  <c r="I491" i="1"/>
  <c r="H491" i="1" s="1"/>
  <c r="I499" i="1"/>
  <c r="H499" i="1" s="1"/>
  <c r="I19" i="1" l="1"/>
  <c r="H19" i="1" s="1"/>
  <c r="I426" i="1"/>
  <c r="H426" i="1" s="1"/>
  <c r="I333" i="1"/>
  <c r="H333" i="1" s="1"/>
  <c r="I412" i="1"/>
  <c r="H412" i="1" s="1"/>
  <c r="I514" i="1"/>
  <c r="H514" i="1" s="1"/>
  <c r="I435" i="1"/>
  <c r="H435" i="1" s="1"/>
  <c r="I508" i="1"/>
  <c r="H508" i="1" s="1"/>
  <c r="I381" i="1"/>
  <c r="H381" i="1" s="1"/>
  <c r="I376" i="1"/>
  <c r="H376" i="1" s="1"/>
  <c r="I503" i="1"/>
  <c r="H503" i="1" s="1"/>
  <c r="I525" i="1"/>
  <c r="H525" i="1" s="1"/>
  <c r="I371" i="1"/>
  <c r="H371" i="1" s="1"/>
  <c r="I466" i="1"/>
  <c r="H466" i="1" s="1"/>
  <c r="I345" i="1"/>
  <c r="H345" i="1" s="1"/>
  <c r="I15" i="1"/>
  <c r="H15" i="1" s="1"/>
  <c r="I487" i="1"/>
  <c r="H487" i="1" s="1"/>
  <c r="I388" i="1"/>
  <c r="H388" i="1" s="1"/>
  <c r="I495" i="1"/>
  <c r="H495" i="1" s="1"/>
  <c r="I339" i="1"/>
  <c r="H339" i="1" s="1"/>
  <c r="I409" i="1"/>
  <c r="I450" i="1"/>
  <c r="H450" i="1" s="1"/>
  <c r="I419" i="1"/>
  <c r="H419" i="1" s="1"/>
  <c r="I406" i="1"/>
  <c r="H406" i="1" s="1"/>
  <c r="I38" i="1"/>
  <c r="H38" i="1" s="1"/>
  <c r="I478" i="1"/>
  <c r="H478" i="1" s="1"/>
  <c r="I592" i="1"/>
  <c r="H592" i="1" s="1"/>
  <c r="I440" i="1"/>
  <c r="H440" i="1" s="1"/>
  <c r="I553" i="1"/>
  <c r="H553" i="1" s="1"/>
  <c r="I67" i="1"/>
  <c r="H67" i="1" s="1"/>
  <c r="I323" i="1"/>
  <c r="H323" i="1" s="1"/>
  <c r="I211" i="1"/>
  <c r="H211" i="1" s="1"/>
  <c r="I536" i="1"/>
  <c r="H536" i="1" s="1"/>
  <c r="I81" i="1"/>
  <c r="H81" i="1" s="1"/>
  <c r="I149" i="1"/>
  <c r="H149" i="1" s="1"/>
  <c r="I243" i="1"/>
  <c r="H243" i="1" s="1"/>
  <c r="I199" i="1"/>
  <c r="H199" i="1" s="1"/>
  <c r="I126" i="1"/>
  <c r="H126" i="1" s="1"/>
  <c r="I307" i="1"/>
  <c r="H307" i="1" s="1"/>
  <c r="I208" i="1"/>
  <c r="H208" i="1" s="1"/>
  <c r="I180" i="1"/>
  <c r="H180" i="1" s="1"/>
  <c r="I276" i="1"/>
  <c r="H276" i="1" s="1"/>
  <c r="I317" i="1"/>
  <c r="H317" i="1" s="1"/>
  <c r="I160" i="1"/>
  <c r="H160" i="1" s="1"/>
  <c r="I544" i="1"/>
  <c r="H544" i="1" s="1"/>
</calcChain>
</file>

<file path=xl/sharedStrings.xml><?xml version="1.0" encoding="utf-8"?>
<sst xmlns="http://schemas.openxmlformats.org/spreadsheetml/2006/main" count="702" uniqueCount="611">
  <si>
    <t>STT</t>
  </si>
  <si>
    <t>Tên Use case</t>
  </si>
  <si>
    <t>Tên tác nhân</t>
  </si>
  <si>
    <t>Giao dịch
(Transaction)</t>
  </si>
  <si>
    <t>Phân loại theo BMT</t>
  </si>
  <si>
    <t>Phân loại theo độ phức tạp</t>
  </si>
  <si>
    <t>A. HỆ THỐNG ĐIỀU HÀNH NỘI BỘ TẬP TRUNG (WEB PORTAL)</t>
  </si>
  <si>
    <t>I. Nhóm kết nối với các hệ thống dùng chung phục vụ nhắc việc, theo dõi</t>
  </si>
  <si>
    <t xml:space="preserve">1. Hệ thống Quản lý văn bản dùng chung </t>
  </si>
  <si>
    <t>Tổng quan văn bản cần xử lý của cá nhân</t>
  </si>
  <si>
    <t>Tất cả người dùng</t>
  </si>
  <si>
    <t>Người dùng có thể xem tổng quan số lượng văn bản theo từng trạng thái (bút phê, phân công, quá hạn, còn hạn)</t>
  </si>
  <si>
    <t>Người dùng có thể xem danh sách văn bản theo trạng thái đã chọn (bút phê, phân công, quá hạn hoặc còn hạn) dưới dạng bảng</t>
  </si>
  <si>
    <t>Người dùng có thể tìm kiếm văn bản trong danh sách theo tiêu chí</t>
  </si>
  <si>
    <t>Người dùng có thể chuyển trang danh sách văn bản cần xử lý</t>
  </si>
  <si>
    <t>Theo dõi tình hình xử lý văn bản đến theo phòng ban của đơn vị</t>
  </si>
  <si>
    <t>Người dùng có thể xem tổng số văn bản đang xử lý theo từng phòng ban</t>
  </si>
  <si>
    <t>Người dùng có thể xem số lượng văn bản đang xử lý trong hạn của phòng ban</t>
  </si>
  <si>
    <t>Người dùng có thể xem số lượng văn bản đang xử lý quá hạn của phòng ban</t>
  </si>
  <si>
    <t>Người dùng có thể xem danh sách văn bản đang xử lý từ số lượng</t>
  </si>
  <si>
    <t>Xem thông tin văn bản</t>
  </si>
  <si>
    <t>Người dùng có thể phân trang danh sách văn bản</t>
  </si>
  <si>
    <t>Người dùng có thể tìm kiếm văn bản từ danh sách (số ký hiệu, trích yếu, đơn vị ban hành, ngày ban hành, số văn bản đến, ngày văn bản đến)</t>
  </si>
  <si>
    <t>Người dùng có thể xem các thông tin của văn bản gồm: số ký hiệu, trích yếu, loại văn bản, đơn vị ban hành, ngày ban hành, s số văn bản đến, ngày văn bản đến, trạng thái xử lý</t>
  </si>
  <si>
    <t>Xem văn bản đi đã phát hành</t>
  </si>
  <si>
    <t>Người dùng có thể xem tổng số lượng văn bản đi đã phát hành theo thời gian</t>
  </si>
  <si>
    <t>Người dùng có thể xem danh sách văn bản đi đã phát hành của tài khoản đang đăng nhập theo khoảng thời gian chọn</t>
  </si>
  <si>
    <t>Người dùng có thể xem các thông tin của văn bản đi gồm: số ký hiệu, trích yếu, loại văn bản, đơn vị soạn thảo, ngày soạn thảo, ngày ban hành, đơn vị nhận</t>
  </si>
  <si>
    <t xml:space="preserve">2. Hệ thống Phản ánh kiến nghị (1022) </t>
  </si>
  <si>
    <t>Tổng hợp tình hình xử lý phản ánh 1022</t>
  </si>
  <si>
    <t>Người dùng có thể xem tổng số phản ánh 1022 theo khoảng thời gian được chọn</t>
  </si>
  <si>
    <t>Người dùng có thể lọc và xem số lượng phản ánh 1022 đã xử lý theo thời gian</t>
  </si>
  <si>
    <t>Người dùng có thể lọc và xem số lượng phản ánh 1022 chưa xử lý theo thời gian</t>
  </si>
  <si>
    <t>Người dùng có thể xem danh sách phản ánh 1022 chưa xử lý còn trong hạn</t>
  </si>
  <si>
    <t>Người dùng có thể xem danh sách phản ánh 1022 chưa xử lý đã quá hạn</t>
  </si>
  <si>
    <t>Người dùng có thể xem thống kê số lượng phản ánh 1022 tiếp nhận theo kênh (web/app/điện thoại/trực tiếp/email/mạng xã hội)</t>
  </si>
  <si>
    <t>3. Đăng nhập SSO TP</t>
  </si>
  <si>
    <t>Đăng nhập SSO TP trên nền tảng Web</t>
  </si>
  <si>
    <t>Người dùng có thể truy cập hệ thống NTQLCQS</t>
  </si>
  <si>
    <t>Người dùng có thể chọn chức năng đăng nhập và hệ thống điều hướng đến hệ thống SSO TP</t>
  </si>
  <si>
    <t>Người dùng có thể đăng nhập trên trang SSO TP</t>
  </si>
  <si>
    <t>II. Nhóm các phân hệ hỗ trợ tác nghiệp, nhắc việc, theo dõi, thống kê báo cáo</t>
  </si>
  <si>
    <t>1. Quản lý, phân công và giám sát công việc ngoài VB, TBKL</t>
  </si>
  <si>
    <t>Giao việc và phân công thực hiện công việc số</t>
  </si>
  <si>
    <t>Thường trực UBND TP.HCM, Lãnh đạo đơn vị, Lãnh đạo Phòng, Thư ký, trợ lý</t>
  </si>
  <si>
    <t>Người dùng có thể thêm mới công việc trực tuyến</t>
  </si>
  <si>
    <t>Người dùng có thể chỉnh sửa công việc trực tuyến</t>
  </si>
  <si>
    <t>Người dùng có thể thiết lập mức độ ưu tiên (thấp, trung bình, cao) cho công việc</t>
  </si>
  <si>
    <t>Người dùng có thể thu hồi công việc trực tuyến</t>
  </si>
  <si>
    <t>Người dùng có thể xem danh sách công việc trực tuyến</t>
  </si>
  <si>
    <t>Người dùng có thể phân công công việc cho đơn vị hoặc cá nhân thực hiện</t>
  </si>
  <si>
    <t>Người dùng có thể kết thúc công việc</t>
  </si>
  <si>
    <t>Tạo mới và quản lý công việc con từ công việc gốc</t>
  </si>
  <si>
    <t>Người dùng có thể chọn "thêm mới" từ mục công việc con và cung cấp thông tin theo yêu cầu</t>
  </si>
  <si>
    <t>Người dùng có thể chọn người xử lý cho công việc con</t>
  </si>
  <si>
    <t>Người dùng có thể đính kèm tập tin từ máy tính</t>
  </si>
  <si>
    <t>Người dùng có thể lưu thông tin công việc con</t>
  </si>
  <si>
    <t>Người dùng có thể xem lại công việc con vừa tạo</t>
  </si>
  <si>
    <t>Tra cứu và theo dõi danh sách công việc</t>
  </si>
  <si>
    <t>Người dùng có thể xem danh sách công việc</t>
  </si>
  <si>
    <t>Người dùng có thể lọc hoặc tìm kiếm công việc theo từ khóa, tình trạng công việc, tình trạng xử lý, người giao việc, nhóm công việc hoặc khoảng thời gian</t>
  </si>
  <si>
    <t>Người dùng có thể lọc danh sách công việc trễ hạn theo đơn vị hoặc người được giao</t>
  </si>
  <si>
    <t>Người dùng có thể xem chi tiết công việc</t>
  </si>
  <si>
    <t>Người dùng có thể kết thúc công việc khi đã hoàn thành</t>
  </si>
  <si>
    <t>Người dùng có thể xem kết quả xử lý công việc</t>
  </si>
  <si>
    <t>Người dùng có thể xem danh sách tệp đính kèm của công việc</t>
  </si>
  <si>
    <t>Người dùng có thể xem lịch sử quá trình xử lý công việc</t>
  </si>
  <si>
    <t>Lập và gửi báo cáo kết quả thực hiện công việc trên web</t>
  </si>
  <si>
    <t>Người dùng có thể cập nhật nội dung báo cáo công việc theo yêu cầu trên phần mềm</t>
  </si>
  <si>
    <t>Người dùng có thể cập nhật tiến độ (%) khi báo cáo kết quả công việc</t>
  </si>
  <si>
    <t>Người dùng có thể lưu báo kết quả</t>
  </si>
  <si>
    <t>Người dùng có thể xem lại danh sách các báo cáo đã gửi và trạng thái phê duyệt</t>
  </si>
  <si>
    <t>Phê duyệt kết quả thực hiện công việc</t>
  </si>
  <si>
    <t>Người dùng có thể xem thông tin kết quả thực hiện công việc trước khi phê duyệt</t>
  </si>
  <si>
    <t>Người dùng có thể phê duyệt thông tin kết quả xử lý công việc</t>
  </si>
  <si>
    <t>Người dùng có thể lại danh sách công việc đã phê duyệt</t>
  </si>
  <si>
    <t>Yêu cầu chỉnh sửa/bổ sung kết quả thực hiện công việc</t>
  </si>
  <si>
    <t>Người dùng có thể xem thông tin kết quả thực hiện công việc trước khi yêu cầu chỉnh sửa</t>
  </si>
  <si>
    <t>Người dùng có thể nhập lý do yêu cầu chỉnh sửa/bổ sung kết quả thực hiện công việc</t>
  </si>
  <si>
    <t>Người dùng có thể lại lại danh sách công việc đã yêu cầu chỉnh sửa/bổ sung</t>
  </si>
  <si>
    <t>Gửi yêu cầu gia hạn thời hạn xử lý công việc trên web</t>
  </si>
  <si>
    <t>Người dùng có thể xem danh sách các công việc xin gia hạn</t>
  </si>
  <si>
    <t>Người dùng có thể tìm kiếm nhanh từ danh sách xin gia hạn</t>
  </si>
  <si>
    <t>Người dùng có thể cung cấp thông tin xin gia hạn theo yêu cầu của hệ thống</t>
  </si>
  <si>
    <t>Người dùng có thể lưu thông tin xin gia hạn</t>
  </si>
  <si>
    <t>Người dùng có thể xem lại danh sách xin gia hạn  mới nhất.</t>
  </si>
  <si>
    <t>Phê duyệt/từ chối yêu cầu gia hạn thời hạn xử lý</t>
  </si>
  <si>
    <t>Người dùng có thể xem thông tin yêu cầu xin gia hạn</t>
  </si>
  <si>
    <t>Người dùng có thể phê duyệt thông tin xin gia hạn</t>
  </si>
  <si>
    <t>Người dùng có thể từ chối và nhập lý do từ chối</t>
  </si>
  <si>
    <t>Người dùng có thể xem lịch sử các lần xin gia hạn của công việc</t>
  </si>
  <si>
    <t>Quản lý danh sách công việc cần thực hiện</t>
  </si>
  <si>
    <t>Người dùng có thể xem danh sách các việc cần xử lý của tôi</t>
  </si>
  <si>
    <t>Người dùng có thể lọc hoặc tra cứu công việc theo từ khóa, trạng thái hoặc thời hạn</t>
  </si>
  <si>
    <t>Người dùng có thể xem chi tiết công việc tương ứng</t>
  </si>
  <si>
    <t>Người dùng có thể cập nhật tiến độ hoặc kết quả thực hiện công việc</t>
  </si>
  <si>
    <t>Người dùng có thể truy cập nhanh các công việc sắp đến hạn</t>
  </si>
  <si>
    <t>Theo dõi công việc được phân công theo dõi/đôn đốc</t>
  </si>
  <si>
    <t>Người dùng có thể xem danh sách các việc cần theo dõi</t>
  </si>
  <si>
    <t>Người dùng có thể tìm kiếm hoặc lọc danh sách công việc theo đối tượng thực hiện hoặc trạng thái</t>
  </si>
  <si>
    <t>Người dùng có thể xem chi tiết công việc cần theo dõi</t>
  </si>
  <si>
    <t>Người dùng có thể xử lý công việc cần theo dõi</t>
  </si>
  <si>
    <t>Người dùng có thể ghi nhận ý kiến nhắc việc hoặc đôn đốc tiến độ</t>
  </si>
  <si>
    <t>Người dùng có thể xem lịch sử cập nhật tiến độ của công việc</t>
  </si>
  <si>
    <t>Quản lý các công việc đang chờ phê duyệt kết quả</t>
  </si>
  <si>
    <t>Người dùng có thể xem danh sách các việc chờ phê duyệt</t>
  </si>
  <si>
    <t>Người dùng có thể tra cứu hoặc lọc các công việc theo thời gian gửi phê duyệt hoặc trạng thái</t>
  </si>
  <si>
    <t>Người dùng có thể xem chi tiết công việc chờ phê duyệt</t>
  </si>
  <si>
    <t>Người dùng có thể phê duyệt kết quả công việc</t>
  </si>
  <si>
    <t>Người dùng có thể từ chối kết quả công việc kèm lý do</t>
  </si>
  <si>
    <t>Theo dõi các công việc tham gia phối hợp xử lý</t>
  </si>
  <si>
    <t>Người dùng có thể xem danh sách các việc phối hợp xử lý</t>
  </si>
  <si>
    <t>Người dùng có thể tìm kiếm hoặc lọc các công việc phối hợp theo trạng thái hoặc thời hạn</t>
  </si>
  <si>
    <t>Người dùng có thể xem chi tiết công việc phối hợp xử lý</t>
  </si>
  <si>
    <t>Người dùng có thể cập nhật nội dung phối hợp hoặc ý kiến xử lý</t>
  </si>
  <si>
    <t>Người dùng có thể theo dõi tiến độ thực hiện công việc</t>
  </si>
  <si>
    <t>Thiết lập mới danh sách người nhận mặc định</t>
  </si>
  <si>
    <t>QTHT</t>
  </si>
  <si>
    <t>Người dùng có thể xem danh sách các cấu hình người nhận mặc định</t>
  </si>
  <si>
    <t>Người dùng có thể tìm kiếm và lọc danh sách cấu hình theo đơn vị, phòng ban hoặc tên người nhận</t>
  </si>
  <si>
    <t>Người dùng có thể tạo mới cấu hình bằng cách chọn đơn vị, chọn phòng ban, chọn người nhận mặc định</t>
  </si>
  <si>
    <t>Người dùng có thể chỉnh sửa thông tin người nhận trong cấu hình đã tạo</t>
  </si>
  <si>
    <t>Người dùng có thể xóa cấu hình người nhận mặc định không còn sử dụng</t>
  </si>
  <si>
    <t>Người dùng có thể thiết lập trạng thái hiệu lực (kích hoạt/tạm dừng) cho từng cấu hình</t>
  </si>
  <si>
    <t>Người dùng có thể xem trước danh sách người nhận trước khi lưu cấu hình</t>
  </si>
  <si>
    <t>Người dùng có thể sắp xếp thứ tự hiển thị của các cấu hình người nhận mặc định</t>
  </si>
  <si>
    <t>Người dùng có thể xuất danh sách cấu hình người nhận mặc định ra tệp</t>
  </si>
  <si>
    <t>Xem chi tiết thông báo điều hành và liên kết nội dung</t>
  </si>
  <si>
    <t>Người dùng có thể nhận thông báo trên web</t>
  </si>
  <si>
    <t>Người dùng có thể xử lý công việc</t>
  </si>
  <si>
    <t>Người dùng có thể đánh dấu đã đọc/chưa đọc thông báo</t>
  </si>
  <si>
    <t>Xem tổng quan công việc cá nhân</t>
  </si>
  <si>
    <t>Người dùng có thể xem biểu đồ tổng quan công việc của tôi (tổng số, còn hạn, quá hạn)</t>
  </si>
  <si>
    <t>Người dùng có thể xem biểu đồ tổng quan công việc tôi giao (tổng số, còn hạn, quá hạn)</t>
  </si>
  <si>
    <t>Người dùng có thể xem danh sách chi tiết công việc tương ứng khi chọn vào biểu đồ</t>
  </si>
  <si>
    <t>Người dùng có thể tìm kiếm trong danh sách chi tiết công việc</t>
  </si>
  <si>
    <t>Thống kê giao việc theo phòng ban</t>
  </si>
  <si>
    <t>Người dùng có thể lọc thống kê theo khoảng thời gian (từ ngày, đến ngày)</t>
  </si>
  <si>
    <t>Người dùng có thể lọc thống kê theo nhóm công việc</t>
  </si>
  <si>
    <t>Người dùng có thể xem tổng số công việc đang xử lý dạng thẻ tổng quan</t>
  </si>
  <si>
    <t>Người dùng có thể xem tổng số công việc đang xử lý, số còn hạn dạng thẻ tổng quan</t>
  </si>
  <si>
    <t>Người dùng có thể xem tổng số công việc đang xử lý, số trễ hạn dạng thẻ tổng quan</t>
  </si>
  <si>
    <t>Người dùng có thể xem bảng thống kê số lượng công việc đang xử lý còn hạn theo từng phòng ban</t>
  </si>
  <si>
    <t>Người dùng có thể xem bảng thống kê số lượng công việc đang xử lý trễ hạn theo từng phòng ban</t>
  </si>
  <si>
    <t>Người dùng có thể xem bảng thống kê số lượng công việc đã kết thúc đúng hạn theo từng phòng ban</t>
  </si>
  <si>
    <t>Người dùng có thể xem bảng thống kê số lượng công việc đã kết thúc quá hạn theo từng phòng ban</t>
  </si>
  <si>
    <t>Người dùng có thể xuất ra file excel dữ liệu thống kê</t>
  </si>
  <si>
    <t>Xem danh sách công việc theo phòng ban</t>
  </si>
  <si>
    <t>Người dùng có thể xem danh sách tất cả các công việc đang xử lý của tất cả phòng ban</t>
  </si>
  <si>
    <t>Người dùng có thể xem danh sách các tổng số công việc đang xử lý còn hạn của tất cả phòng ban</t>
  </si>
  <si>
    <t>Người dùng có thể xem danh sách các tổng số công việc đang xử lý trễ hạn của tất cả phòng ban</t>
  </si>
  <si>
    <t>Người dùng có thể xem danh sách chi tiết công việc khi chọn vào một số liệu còn hạn, trễ hạn, đúng hạn hoặc quá hạn trong bảng thống kê giao việc theo phòng ban</t>
  </si>
  <si>
    <t>Người dùng có thể xuất danh sách chi tiết công việc ra file Excel</t>
  </si>
  <si>
    <t>Theo dõi công việc do Thường trực UBND TP.HCM giao</t>
  </si>
  <si>
    <t>Người dùng có thể xem tổng số công việc dạng thẻ tổng quan</t>
  </si>
  <si>
    <t>Người dùng có thể xem tổng số công việc, số còn hạn dạng thẻ tổng quan</t>
  </si>
  <si>
    <t>Người dùng có thể xem tổng số công việc, số trễ hạn dạng thẻ tổng quan</t>
  </si>
  <si>
    <t>Người dùng có thể xem bảng thống kê tổng số lượng công việc đang xử lý theo từng người giao</t>
  </si>
  <si>
    <t>Người dùng có thể xem bảng thống kê số lượng công việc đang xử lý còn hạn theo từng người giao</t>
  </si>
  <si>
    <t>Người dùng có thể xem bảng thống kê số lượng công việc đang xử lý quá hạn theo từng người giao</t>
  </si>
  <si>
    <t>Người dùng có thể xem bảng thống kê số lượng công việc đã kết thúc đúng hạn theo từng người giao</t>
  </si>
  <si>
    <t>Người dùng có thể xem bảng thống kê số lượng công việc đã kết thúc quá hạn theo từng người giao</t>
  </si>
  <si>
    <t>Người dùng có thể xuất bảng thống kê ra file Excel</t>
  </si>
  <si>
    <t>Xem danh sách công việc do Thường trực UBND TP.HCM giao</t>
  </si>
  <si>
    <t>Người dùng có thể xem danh sách tất cả các công việc đang xử lý của tất cả người giao</t>
  </si>
  <si>
    <t>Người dùng có thể xem danh sách các tổng số công việc đang xử lý còn hạn của tất cả người giao</t>
  </si>
  <si>
    <t>Người dùng có thể xem danh sách các tổng số công việc đang xử lý trễ hạn của tất cả người giao</t>
  </si>
  <si>
    <t>Người dùng có thể xem danh sách chi tiết công việc khi chọn vào một số liệu còn hạn, trễ hạn, đúng hạn hoặc quá hạn trong bảng thống kê giao việc theo người giao</t>
  </si>
  <si>
    <t>Cảnh báo công việc có nguy cơ trễ hạn</t>
  </si>
  <si>
    <t>Người dùng có thể thiết lập số ngày cảnh báo trước hạn (ví dụ còn 3 hoặc 5 ngày)</t>
  </si>
  <si>
    <t>Người dùng có thể xem danh sách công việc sắp đến hạn nhưng chưa cập nhật tiến độ</t>
  </si>
  <si>
    <t>Người dùng có thể lọc danh sách cảnh báo theo phòng ban hoặc người xử lý</t>
  </si>
  <si>
    <t>Người dùng có thể xem chi tiết công việc trong danh sách cảnh báo</t>
  </si>
  <si>
    <t>Người dùng có thể gửi nhắc nhở đến người xử lý từ danh sách cảnh báo</t>
  </si>
  <si>
    <t>1. Người dùng có thể xuất danh sách cảnh báo ra file Excel</t>
  </si>
  <si>
    <t>Thiết lập tiêu chí sắp xếp danh sách công việc</t>
  </si>
  <si>
    <t>Thường trực UBND TP.HCM, Lãnh đạo đơn vị, Lãnh đạo Phòng</t>
  </si>
  <si>
    <t>Người dùng có thể chọn tiêu chí sắp xếp dữ liệu như người giao, đơn vị xử lý, ngày công việc</t>
  </si>
  <si>
    <t>Người dùng có thể thay đổi thứ tự hiển thị tăng dần hoặc giảm dần theo từng tiêu chí</t>
  </si>
  <si>
    <t>Người dùng có thể kết hợp sắp xếp với bộ lọc để chỉ hiển thị các công việc</t>
  </si>
  <si>
    <t>Người dùng có thể xem danh sách công việc sau sắp xếp</t>
  </si>
  <si>
    <t>Thiết lập phân trang hiển thị danh sách công việc</t>
  </si>
  <si>
    <t>Người dùng có thể chọn danh sách công việc trên web</t>
  </si>
  <si>
    <t>Người dùng có thể chọn kích thước trang (10/20/50/100) tại thanh phân trang</t>
  </si>
  <si>
    <t>Người dùng có thể điều hướng Trang trước/Trang sau hoặc nhập số trang cần xem</t>
  </si>
  <si>
    <t>Người dùng có thể tìm kiếm/lọc trong danh sách</t>
  </si>
  <si>
    <t>Người dùng có thể xem danh sách công việc ở trang cần xem</t>
  </si>
  <si>
    <t>Xuất báo cáo và dữ liệu tổng hợp ra tệp</t>
  </si>
  <si>
    <t>Người dùng có thể chọn loại báo cáo cần xuất ra file excel</t>
  </si>
  <si>
    <t>Người dùng có thể chọn phạm vi dữ liệu cần xuất, ví dụ: khoảng thời gian, trạng thái xử lý</t>
  </si>
  <si>
    <t>Người dùng có thể xem trước nội dung báo cáo trên màn hình trước khi kết xuất ra file</t>
  </si>
  <si>
    <t>Người dùng có thể kết xuất báo cáo ra file và tải về thiết bị</t>
  </si>
  <si>
    <t>Người dùng có thể tải xuống, lưu hoặc mở file Excel trực tiếp trên thiết bị</t>
  </si>
  <si>
    <t>2. Quản lý Kế hoạch thúc đẩy tăng trưởng hai con số trên địa bàn thành phố</t>
  </si>
  <si>
    <t>Khởi tạo nội dung kế hoạch tăng trưởng hai con số và phân công đơn vị/người phụ trách theo dõi</t>
  </si>
  <si>
    <t>Thường trực UBND TP.HCM, Văn phòng UBND TP.HCM, Thư ký, trợ lý</t>
  </si>
  <si>
    <t>Người dùng có thể tạo nội dung kế hoạch tăng trưởng hai con số cho từng đơn vị</t>
  </si>
  <si>
    <t>Người dùng có thể chọn một hoặc nhiều lãnh đạo phụ trách, theo dõi</t>
  </si>
  <si>
    <t>Người dùng có thể nhập tiêu đề, mô tả, lĩnh vực và mức độ ưu tiên của công việc</t>
  </si>
  <si>
    <t>Người dùng có thể đính kèm văn bản/tài liệu liên quan</t>
  </si>
  <si>
    <t>Người dùng có thể lưu kế hoạch tăng trưởng hai con số và hệ thống thông báo thành công</t>
  </si>
  <si>
    <t>Điều chỉnh thông tin nội dung kế hoạch tăng trưởng hai con số</t>
  </si>
  <si>
    <t>Thường trực UBND TP.HCM, Thư ký, trợ lý</t>
  </si>
  <si>
    <t>Người dùng có thể tra cứu nội dung kế hoạch tăng trưởng hai con số cần chỉnh sửa theo mã, tên hoặc đơn vị</t>
  </si>
  <si>
    <t>Người dùng có thể thay đổi thông tin nội dung kế hoạch tăng trưởng hai con số</t>
  </si>
  <si>
    <t>Người dùng có thể điều chỉnh đơn vị thực hiện/lãnh đạo phụ trách, theo dõi</t>
  </si>
  <si>
    <t>Người dùng có thể cập nhật tệp đính kèm</t>
  </si>
  <si>
    <t>Người dùng có thể lưu thông tin nội dung kế hoạch tăng trưởng hai con số vừa chỉnh sửa</t>
  </si>
  <si>
    <t>Tạm dừng/Ngừng theo dõi nội dung kế hoạch tăng trưởng hai con số</t>
  </si>
  <si>
    <t>Người dùng có thể chọn nội dung kế hoạch tăng trưởng hai con số cần tạm dừng/ngừng theo dõi</t>
  </si>
  <si>
    <t>Người dùng có thể xác nhận tạm dừng/ngừng theo dõi nội dung kế hoạch tăng trưởng hai con số</t>
  </si>
  <si>
    <t>Trả lại kế hoạch tăng trưởng hai con số cho đơn vị mình</t>
  </si>
  <si>
    <t>Lãnh đạo đơn vị</t>
  </si>
  <si>
    <t>Người dùng có thể chọn nội dung kế hoạch tăng trưởng hai con số trả lại</t>
  </si>
  <si>
    <t>Người dùng có thể cập nhật lý do trả lại kế hoạch tăng trưởng hai con số</t>
  </si>
  <si>
    <t>Phân công đơn vị thực hiện nội dung kế hoạch tăng trưởng hai con số</t>
  </si>
  <si>
    <t>Người dùng có thể tìm kiếm kế hoạch tăng trưởng hai con số cần phân công lại thông qua trạng thái "bị trả lại"</t>
  </si>
  <si>
    <t>Người dùng có thể chọn nội dung kế hoạch tăng trưởng hai con số cần phân công đơn vị thực hiện</t>
  </si>
  <si>
    <t>Người dùng có thể chọn đơn vị thực hiện</t>
  </si>
  <si>
    <t>Người dùng có thể xem kết quả phân công sau khi thực hiện và có thể điều chỉnh nếu cần</t>
  </si>
  <si>
    <t>Đề xuất gia hạn kế hoạch tăng trưởng hai con số cho đơn vị mình</t>
  </si>
  <si>
    <t>Người dùng có thể chọn nội dung kế hoạch tăng trưởng hai con số cần đề xuất gia hạn kế hoạch tăng trưởng hai con số cho đơn vị mình</t>
  </si>
  <si>
    <t>Người dùng có thể cập nhật chọn thời hạn mong muốn (theo ngày hoặc theo tháng)</t>
  </si>
  <si>
    <t>Người dùng có thể nhập lý do cần xin gia hạn</t>
  </si>
  <si>
    <t>Người dùng có thể lưu để gửi thông tin đề xuất lên UBND Thành phố xem xét</t>
  </si>
  <si>
    <t>Trường hợp UBND đồng ý cho phép gia hạn, Kế hoạch tăng trưởng hai con số đó sẽ được cập nhật thời hạn mới. Ngược lại thì sẽ giữ nguyên thời hạn ban đầu</t>
  </si>
  <si>
    <t>Phê duyệt/từ chối gia hạn kế hoạch tăng trưởng hai con số từ đơn vị thực hiện</t>
  </si>
  <si>
    <t>Người dùng có thể chọn nội dung kế hoạch tăng trưởng hai con số cần xác nhận gia hạn thông qua trạng thái " chờ xác nhận gia hạn"</t>
  </si>
  <si>
    <t>Người dùng có thể xem thông tin và lý do xin gia hạn</t>
  </si>
  <si>
    <t>Người dùng có thể phê duyệt gia hạn. Kế hoạch tăng trưởng hai con số sẽ được cập nhật thời hạn mới</t>
  </si>
  <si>
    <t>Người dùng có thể từ chối gia hạn. Kế hoạch tăng trưởng hai con số sẽ được giữ nguyên thời hạn ban đầu</t>
  </si>
  <si>
    <t>Người dùng (đơn vị thực hiện) có thể nhận Thông báo kết quả phê duyệt/từ chối gia hạn đến đơn vị thực hiện</t>
  </si>
  <si>
    <t>Cập nhật tiến độ xử lý nội dung kế hoạch tăng trưởng 2 con số</t>
  </si>
  <si>
    <t>Người dùng có thể chọn nội dung kế hoạch tăng trưởng 2 con số cần cập nhật tiến độ xử lý</t>
  </si>
  <si>
    <t>Người dùng có thể cập nhật tỷ lệ hoàn thành, kiến nghị</t>
  </si>
  <si>
    <t>Người dùng có thể đính kèm tệp hình ảnh/tài liệu liên quan</t>
  </si>
  <si>
    <t>Người dùng có thể gửi báo cáo tiến độ thực hiện lên cấp theo dõi/duyệt</t>
  </si>
  <si>
    <t>Báo cáo kết quả thực hiện nội dung kế hoạch tăng trưởng 2 con số</t>
  </si>
  <si>
    <t>Người dùng có thể chọn nội dung kế hoạch tăng trưởng hai con số cần báo cáo và nhập nội dung kết quả</t>
  </si>
  <si>
    <t>Người dùng có thể đính kèm tệp hình ảnh/tài liệu chứng minh</t>
  </si>
  <si>
    <t>Người dùng có thể gửi báo cáo kết quả thực hiện lên cấp theo dõi/duyệt</t>
  </si>
  <si>
    <t xml:space="preserve">	Người dùng có thể xem trạng thái báo cáo sau khi gửi (chờ duyệt/đã duyệt/yêu cầu chỉnh sửa)</t>
  </si>
  <si>
    <t>Đề xuất xác nhận hoàn thành công việc của đơn vị</t>
  </si>
  <si>
    <t>Người dùng có thể nhập số văn bản báo cáo và ngày ban hành</t>
  </si>
  <si>
    <t>Người dùng có thể xem trạng thái đề xuất sau khi gửi và theo dõi tiến trình xác nhận hoàn thành</t>
  </si>
  <si>
    <t>Người dùng có thể đính kèm tệp tin văn bản</t>
  </si>
  <si>
    <t>Người dùng có thể gửi để xuất và chuyển trang thái sang " Chờ xác nhận hoàn thành"</t>
  </si>
  <si>
    <t>Xác nhận hoàn thành nội dung kế hoạch tăng trưởng hai con số của đơn vị</t>
  </si>
  <si>
    <t>Người dùng có thể chọn nội dung kế hoạch tăng trưởng hai con số cần xác nhận hoàn thành thông qua trạng thái "Chờ xác nhận hoàn thành "</t>
  </si>
  <si>
    <t>Người dùng có thể chọn kế hoạch tăng trưởng hai con số cần xử lý</t>
  </si>
  <si>
    <t>Người dùng có thể xem thông tin chi tiết nội dung kế hoạch tăng trưởng hai con số của đơn vị/ cá nhân cần phê duyệt</t>
  </si>
  <si>
    <t>Người dùng có thể xem nội dung báo cáo</t>
  </si>
  <si>
    <t>Người dùng có thể xác nhận hoàn thành hoặc yêu cầu báo cáo lại</t>
  </si>
  <si>
    <t>Nhắc nhở đơn vị thực hiện bằng Email hoặc SMS hoặc nhắn tin chat</t>
  </si>
  <si>
    <t>Người dùng có thể chọn nội dung kế hoạch tăng trưởng hai con số cần nhắc nhở</t>
  </si>
  <si>
    <t>Người dùng có thể gửi nội dung qua chat</t>
  </si>
  <si>
    <t>Người dùng có thể gửi nội dung qua sms</t>
  </si>
  <si>
    <t>Người dùng có thể gửi bằng email</t>
  </si>
  <si>
    <t>Người dùng có thể gửi cho đơn vị thực hiện hoặc người đại diện</t>
  </si>
  <si>
    <t>Chia sẻ chuyên viên phòng phụ trách của đơn vị</t>
  </si>
  <si>
    <t>Người dùng có thể chọn nội dung kế hoạch tăng trưởng hai con số cần Chia sẻ chuyên viên phòng phụ trách</t>
  </si>
  <si>
    <t>Người dùng có thể chọn Chuyên viên phụ trách của đơn vị mình</t>
  </si>
  <si>
    <t>Người dùng có thể xác nhận chia sẻ nội dung cho chuyên viên phòng phụ trách và nhận thông báo khi chia sẻ thành công</t>
  </si>
  <si>
    <t>Cập nhật thông tin góp ý từ phòng ban phối hợp</t>
  </si>
  <si>
    <t>Phòng ban phối hợp</t>
  </si>
  <si>
    <t>Người dùng có thể chọn nội dung kế hoạch tăng trưởng hai con số cần cập nhật thông tin góp ý</t>
  </si>
  <si>
    <t>Người dùng có thể nhập thông tin góp ý</t>
  </si>
  <si>
    <t>Người dùng có thể lưu góp ý và chuyển cho phòng ban xử lý chính</t>
  </si>
  <si>
    <t>Tra cứu nội dung công việc theo điều kiện lọc/tìm kiếm</t>
  </si>
  <si>
    <t>Lãnh đạo thường trực UBND TP.HCM, Văn phòng UBND TP.HCM, Lãnh đạo các Sở, ban, ngành, Thư ký, trợ lý</t>
  </si>
  <si>
    <t>Người dùng có thể tìm theo số ký hiệu, trích yếu, cơ quan ban hành, ngày hiệu lực</t>
  </si>
  <si>
    <t>Người dùng có thể tìm theo hạng mục/công việc, đơn vị, trạng thái, hạn xử lý (nếu có)</t>
  </si>
  <si>
    <t>Người dùng có thể xem danh sách công việc thỏa điều kiện tìm kiếm</t>
  </si>
  <si>
    <t>Người dùng có thể xem kết quả thực hiện và các tài liệu đính kèm</t>
  </si>
  <si>
    <t>Người dùng có thể kết xuất chi tiết danh sách công việc ra file excel</t>
  </si>
  <si>
    <t>Tổng quan nội dung chương trình tăng trưởng 2 con số cần báo cáo</t>
  </si>
  <si>
    <t>Lãnh đạo đơn vị, Thư ký, trợ lý</t>
  </si>
  <si>
    <t>Người dùng có thể chọn năm cần xem</t>
  </si>
  <si>
    <t>Người dùng có thể xem số lượng nội dung chương trình tăng trưởng 2 con số theo từng trạng thái ( Chưa thực hiện (trong hạn, quá hạn), Đang thực hiện (trong hạn, quá hạn), Chờ xác nhận gia hạn, Chờ xác nhận hoàn thành, Hoàn thành)</t>
  </si>
  <si>
    <t>Người dùng có thể xem danh sách nội dung chương trình tăng trưởng 2 con số tương ứng</t>
  </si>
  <si>
    <t>Người dùng có thể tìm kiếm nhanh theo từ khóa nội dung chương trình tăng trưởng 2 con số ở màn hình danh sách</t>
  </si>
  <si>
    <t>Người dùng có thể xem chi tiết nội dung chương trình tăng trưởng 2 con số</t>
  </si>
  <si>
    <t>Người dùng có thể xuất tệp tin nội dung chương trình tăng trưởng 2 con số tương ứng</t>
  </si>
  <si>
    <t>Theo dõi và đôn đốc thực hiện nội dung chương trình tăng trưởng 2 con số</t>
  </si>
  <si>
    <t>Lãnh đạo thường trực UBND TP.HCM, Văn phòng UBND TP.HCM</t>
  </si>
  <si>
    <t>Người dùng có thể xem tổng hợp danh sách các nội dung chương trình tăng trưởng 2 con số đang thực hiện theo từng Sở, ban, ngành</t>
  </si>
  <si>
    <t>Người dùng có thể theo dõi tiến độ thực hiện theo thời gian thực và theo mốc nội dung chương trình tăng trưởng 2 con số</t>
  </si>
  <si>
    <t>Người dùng có thể xem danh sách các nội dung chương trình tăng trưởng 2 con số chậm tiến độ</t>
  </si>
  <si>
    <t>Người dùng có thể thực hiện đôn đốc, trao đổi với đơn vị thực hiện thông qua chức năng trao đổi</t>
  </si>
  <si>
    <t>Người dùng có thể xem chi tiết nội dung chương trình tăng trưởng 2 con số đã giao cho từng đơn vị thực hiện</t>
  </si>
  <si>
    <t>Thống kê tăng trưởng hai con số</t>
  </si>
  <si>
    <t>Lãnh đạo thường trực UBND TP.HCM, Văn phòng UBND TP.HCM, Lãnh đạo Sở, ban, ngành</t>
  </si>
  <si>
    <t>Người dùng có thể xem số liệu thống kê theo loại thống kê</t>
  </si>
  <si>
    <t>Người dùng có thể xem số liệu thống kê theo người chỉ đạo</t>
  </si>
  <si>
    <t>Người dùng có thể xem số liệu thống kê theo phòng ban chủ trì</t>
  </si>
  <si>
    <t>Người dùng có thể xem số liệu thống kê theo loại thời gian</t>
  </si>
  <si>
    <t>Người dùng có thể xem số liệu thống kê theo đơn vị thực hiện</t>
  </si>
  <si>
    <t>Người dùng có thể xem số liệu thống kê theo người theo dõi</t>
  </si>
  <si>
    <t>Người dùng có thể xem số liệu thống kê theo phòng phối hợp</t>
  </si>
  <si>
    <t>Người dùng có thể xem số liệu thống kê theo năm</t>
  </si>
  <si>
    <t>Người dùng có thể xem số liệu thống kê theo cấp trình thông qua</t>
  </si>
  <si>
    <t>Xem danh sách chương trình tăng trưởng 2 con số</t>
  </si>
  <si>
    <t>Người dùng có thể xem danh sách nội dung chương trình tăng trưởng 2 con số tổng chưa thực hiện</t>
  </si>
  <si>
    <t>Người dùng có thể xem danh sách nội dung chương trình tăng trưởng 2 con số chưa thực hiện trong hạn</t>
  </si>
  <si>
    <t>Người dùng có thể xem danh sách nội dung chương trình tăng trưởng 2 con số chưa thực hiện quá hạn</t>
  </si>
  <si>
    <t>Người dùng có thể xem danh sách nội dung chương trình tăng trưởng 2 con số tổng đang thực hiện</t>
  </si>
  <si>
    <t>Người dùng có thể xem danh sách nội dung chương trình tăng trưởng 2 con số đang thực hiện trong hạn</t>
  </si>
  <si>
    <t>Người dùng có thể xem danh sách nội dung chương trình tăng trưởng 2 con số đang thực hiện quá hạn</t>
  </si>
  <si>
    <t>Người dùng có thể xem danh sách nội dung chương trình tăng trưởng 2 con số tổng đã hoàn thành</t>
  </si>
  <si>
    <t>Người dùng có thể xem danh sách nội dung chương trình tăng trưởng 2 con số đã hoàn thành trong hạn</t>
  </si>
  <si>
    <t>Người dùng có thể xem danh sách nội dung chương trình tăng trưởng 2 con số đã hoàn thành trể hạn</t>
  </si>
  <si>
    <t>Người dùng có thể xem danh sách nội dung chương trình tăng trưởng 2 con số chờ xác nhận hoàn thành</t>
  </si>
  <si>
    <t>Xuất tệp tin kết quả thống kê tăng trưởng 2 con số</t>
  </si>
  <si>
    <t>Người dùng có thể chọn chức năng "Xuất tệp tin" từ trang thống kê hoặc trang danh sách</t>
  </si>
  <si>
    <t>Người dùng có thể chọn định dạng tệp tin cần xuất: docx, rtf, pdf, odt, ods, xls, xlsx, doc</t>
  </si>
  <si>
    <t>Người dùng có thể tải tệp tin kết quả thống kê về thiết bị</t>
  </si>
  <si>
    <t>In danh sách người chỉ đạo</t>
  </si>
  <si>
    <t>Người dùng có thể chọn chức năng "In danh sách người chỉ đạo" từ trang thống kê hoặc danh sách</t>
  </si>
  <si>
    <t>Hệ thống hiển thị danh sách phân nhóm theo từng người chỉ đạo kèm số lượng nhiệm vụ; mỗi nhóm gồm bảng: STT, Nội dung, Thành viên BCSD/Thường trực UBND phụ trách, Lãnh đạo văn phòng phụ trách, Phòng chuyên môn phụ trách, Thời hạn trình, Cấp trình, Ghi chú; nội dung được nhóm theo đơn vị thực hiện</t>
  </si>
  <si>
    <t>3. Hiển thị thông tin, hồ sơ cá nhân</t>
  </si>
  <si>
    <t>Xem thông tin hồ sơ cá nhân trên Cổng thông tin</t>
  </si>
  <si>
    <t>Người dùng có thể xem thông tin hồ sơ cá nhân trên cổng thông tin</t>
  </si>
  <si>
    <t>Người dùng có thể xem thông tin cơ bản và thông tin liên hệ</t>
  </si>
  <si>
    <t>Người dùng có thể xem ảnh đại diện (nếu có)</t>
  </si>
  <si>
    <t>Người dùng có thể chỉnh sửa thông tin hồ sơ cá nhân trên cổng thông tin</t>
  </si>
  <si>
    <t>4. Hiển thị danh bạ nội bộ và nhóm liên hệ</t>
  </si>
  <si>
    <t>Xem danh bạ theo vai trò và phạm vi hiển thị</t>
  </si>
  <si>
    <t>Người dùng có thể xem danh sách liên hệ theo vai trò và phạm vi được phép</t>
  </si>
  <si>
    <t>Người dùng có thể tìm kiếm theo Tên, Số điện thoại, Email, Mã cán bộ.</t>
  </si>
  <si>
    <t>Người dùng có thể xem toàn bộ danh sách cán bộ đang hoạt động theo vai trò/quyền hạn truy cập.</t>
  </si>
  <si>
    <t>Người dùng có thể sắp xếp danh sách theo: Tên, Phòng ban/Đơn vị, Chức vụ, Vai trò.</t>
  </si>
  <si>
    <t>Người dùng có thể lọc nhanh theo Phòng ban, Đơn vị, Vai trò.</t>
  </si>
  <si>
    <t>Tra cứu danh bạ nội bộ đơn vị</t>
  </si>
  <si>
    <t>Xác định đơn vị công tác, hiển thị danh sách cán bộ trong đơn vị</t>
  </si>
  <si>
    <t>Người dùng có thể xem danh sách toàn bộ cán bộ trong đơn vị mình.</t>
  </si>
  <si>
    <t>Người dùng có thể chuyển hướng sang trò chuyện nhóm hoặc cá nhân với thành viên được chọn</t>
  </si>
  <si>
    <t>Người dùng có thể xem thông tin cơ bản của cán bộ trong cùng đơn vị.</t>
  </si>
  <si>
    <t>Chia sẻ thông tin liên hệ</t>
  </si>
  <si>
    <t>Người dùng có thể chọn thông tin liên hệ của cá nhân cần chia sẻ từ Danh bạ.</t>
  </si>
  <si>
    <t>Người dùng có thể chọn chức năng chia sẻ qua email/trò chuyện (trao đổi).</t>
  </si>
  <si>
    <t>Người dùng có thể nhập email hoặc chọn cá nhân/nhóm trao đổi cần chia sẻ.</t>
  </si>
  <si>
    <t>Người dùng có thể xem xác nhận chia sẻ thành công và có thể chia sẻ thêm liên hệ khác</t>
  </si>
  <si>
    <t>Đánh dấu ưu tiên cho liên hệ trong danh bạ</t>
  </si>
  <si>
    <t>Người dùng có thể chọn một liên hệ trong danh bạ cần đặt ưu tiên</t>
  </si>
  <si>
    <t>Người dùng có thể đặt ưu tiên cho liên hệ đã chọn</t>
  </si>
  <si>
    <t>Người dùng có thể xem danh sách các liên hệ đã được đặt ưu tiên</t>
  </si>
  <si>
    <t>Người dùng có thể bỏ ưu tiên của liên hệ khi không còn cần thiết</t>
  </si>
  <si>
    <t>5. Quản lý kho tài liệu và phân quyền chia sẻ nội bộ</t>
  </si>
  <si>
    <t>Kho tài liệu — Tải tệp lên</t>
  </si>
  <si>
    <t>Người dùng có thể chọn thư mục cần tải tệp tin vào</t>
  </si>
  <si>
    <t>Người dùng có thể chọn tệp tin từ máy tính để tải lên</t>
  </si>
  <si>
    <t>Người dùng có thể chọn tải lên nhiều tệp tin cùng một lúc</t>
  </si>
  <si>
    <t>Người dùng có thể xem tiến trình tải các tệp tin lên hệ thống</t>
  </si>
  <si>
    <t>Người dùng có thể xóa tệp tin vừa tải lên</t>
  </si>
  <si>
    <t>Quản lý phiên bản tệp</t>
  </si>
  <si>
    <t>Người dùng có thể tải lên phiên bản mới của một tệp đã có</t>
  </si>
  <si>
    <t>Người dùng có thể tải xuống một phiên bản cụ thể (không phải phiên bản mới nhất)</t>
  </si>
  <si>
    <t>Người dùng có thể xem trước nội dung của một phiên bản tài liệu cụ thể</t>
  </si>
  <si>
    <t>Xóa phiên bản cũ (giải phóng dung lượng)</t>
  </si>
  <si>
    <t>Kho tài liệu — Tải tệp xuống</t>
  </si>
  <si>
    <t>Người dùng có thể chọn tệp tin cần tải về</t>
  </si>
  <si>
    <t>Người dùng có thể tải tệp xuống, kiểm tra quyền truy cập trước khi cho phép</t>
  </si>
  <si>
    <t>Người dùng có thể xem tệp tin vừa tải về</t>
  </si>
  <si>
    <t>Kho tài liệu — Đổi tên tệp</t>
  </si>
  <si>
    <t>Người dùng có thể chọn tập tin cần đổi tên</t>
  </si>
  <si>
    <t>Người dùng có thể chỉnh sửa tên tệp tin</t>
  </si>
  <si>
    <t>Người dùng có thể xem danh sách các tệp tin của mình</t>
  </si>
  <si>
    <t>Kho tài liệu — Di chuyển tệp sang thư mục khác</t>
  </si>
  <si>
    <t>Người dùng có thể chọn tập tin cần di chuyển</t>
  </si>
  <si>
    <t>Người dùng có thể chọn thư mục đích cần chuyển tệp tin tới</t>
  </si>
  <si>
    <t>Người dùng có thể xem danh sách các tệp tin của mình trong thư mục mới chuyển tới</t>
  </si>
  <si>
    <t>Quản lý thư mục trong Kho tài liệu (tạo mới/đổi tên/xóa)</t>
  </si>
  <si>
    <t>Người dùng có thể tạo thư mục mới (nhập tên thư mục)</t>
  </si>
  <si>
    <t>Người dùng có thể đổi tên thư mục đã tạo</t>
  </si>
  <si>
    <t>Người dùng có thể xóa thư mục</t>
  </si>
  <si>
    <t>Người dùng có thể xem danh sách các thư mục của mình</t>
  </si>
  <si>
    <t>Kho tài liệu — Di chuyển thư mục sang vị trí khác</t>
  </si>
  <si>
    <t>Người dùng có thể chọn thư mục cần di chuyển</t>
  </si>
  <si>
    <t>Người dùng có thể chọn thư mục đích để di chuyển đến</t>
  </si>
  <si>
    <t>Người dùng có thể xem danh sách các thư mục của mình trong thư mục mới chuyển tới</t>
  </si>
  <si>
    <t>Xem trước nội dung tệp trong kho tài liệu</t>
  </si>
  <si>
    <t>Người dùng có thể chọn tệp tin cần xem trước</t>
  </si>
  <si>
    <t>Người dùng có thể xem trực tiếp tập tin vừa chọn</t>
  </si>
  <si>
    <t>Người dùng có thể phóng to/ thu nhỏ nội dung trong tài liệu</t>
  </si>
  <si>
    <t>Người dùng có thể tải xuống tệp trực tiếp từ màn hình xem trước</t>
  </si>
  <si>
    <t>Theo dõi lịch sử và phiên bản tệp tin</t>
  </si>
  <si>
    <t>Người dùng có thể xem lịch sử phiên bản tệp tin</t>
  </si>
  <si>
    <t>Người dùng có thể khôi phục phiên bản tệp tin trước đó</t>
  </si>
  <si>
    <t>Người dùng có thể xem nhật ký hoạt động của tệp tin (tên người, thời gian tải lên/chỉnh sửa)</t>
  </si>
  <si>
    <t>Người dùng có thể tải xuống phiên bản trước đó về máy tính</t>
  </si>
  <si>
    <t>Chia sẻ liên kết truy cập tệp/thư mục</t>
  </si>
  <si>
    <t>Người dùng có thể chia sẻ tệp tin/thư mục cho người dùng cụ thể</t>
  </si>
  <si>
    <t>Người dùng có thể chia sẻ tệp tin/thư mục cho nhóm người dùng cụ thể</t>
  </si>
  <si>
    <t>Người dùng có thể cấu hình phạm vi chia sẻ và thời hạn</t>
  </si>
  <si>
    <t>Người dùng có thể chia sẻ tệp tin/thư mục trong trao đổi nội bộ</t>
  </si>
  <si>
    <t>Người dùng có thể phân quyền (xem, tải, sửa) tệp tin, thư mục</t>
  </si>
  <si>
    <t>Người dùng có thể tạo đường dẫn liên kết chia sẻ tệp tin/thư mục</t>
  </si>
  <si>
    <t>Thiết lập phân quyền truy cập tệp/thư mục</t>
  </si>
  <si>
    <t>Người dùng có thể chọn tệp tin/thư mục cần phân quyền</t>
  </si>
  <si>
    <t>Người dùng có thể thu hồi quyền truy cập</t>
  </si>
  <si>
    <t>Người dùng có thể thiết lập quyền truy cập (xem/chỉnh sửa/tải xuống)</t>
  </si>
  <si>
    <t>Người dùng có thể xem danh sách người dùng/nhóm đang có quyền truy cập tệp/thư mục</t>
  </si>
  <si>
    <t>Tra cứu và tìm kiếm tệp/thư mục trong kho tài liệu</t>
  </si>
  <si>
    <t>Người dùng có thể tìm kiếm theo tên tệp tin/tên thư mục</t>
  </si>
  <si>
    <t>Người dùng có thể xem danh sách tệp tin/thư mục thỏa điều kiện tìm kiếm</t>
  </si>
  <si>
    <t>Người dùng có thể lọc theo loại tệp tin (pdf, word, hình ảnh,…)</t>
  </si>
  <si>
    <t>Người dùng có thể lọc theo tên người gửi</t>
  </si>
  <si>
    <t>Người dùng có thể lọc theo thời gian gửi</t>
  </si>
  <si>
    <t>Thiết lập và quản lý hạn mức dung lượng lưu trữ</t>
  </si>
  <si>
    <t>Người dùng có thể (Quản trị) xem tổng dung lượng lưu trữ hệ thống hiện tại.</t>
  </si>
  <si>
    <t>Người dùng có thể (Quản trị) cấu hình dung lượng tối đa cho từng người dùng/đơn vị/phòng ban.</t>
  </si>
  <si>
    <t>Người dùng có thể (Quản trị) thiết lập ngưỡng cảnh báo khi dung lượng lưu trữ đạt mức giới hạn.</t>
  </si>
  <si>
    <t>Người dùng có thể (Quản trị) áp dụng ngay cho từng người dùng khi cấu hình hạn mức dung lượng</t>
  </si>
  <si>
    <t>Cảnh báo khi dung lượng vượt ngưỡng đặt (thông báo và/hoặc email)</t>
  </si>
  <si>
    <t>Người dùng có thể (Quản trị) xem báo cáo thống kê về việc sử dụng dung lượng lưu trữ theo thời gian.</t>
  </si>
  <si>
    <t>Thống kê lượt truy cập và lượt tải tệp</t>
  </si>
  <si>
    <t>Người dùng có thể lọc thống kê theo thời gian, người dùng, đơn vị, hoặc tên file.</t>
  </si>
  <si>
    <t>Người dùng có thể xem tổng số lượt truy cập và tải xuống của toàn hệ thống</t>
  </si>
  <si>
    <t>Người dùng có thể xem chi tiết số lượt truy cập và tải xuống theo từng file</t>
  </si>
  <si>
    <t>Người dùng có thể xem lịch sử chi tiết (Audit Log) về ai đã truy cập/tải file, vào thời điểm nào.</t>
  </si>
  <si>
    <t>Người dùng có thể xuất báo cáo thống kê ra file Excel</t>
  </si>
  <si>
    <t>Viết lại</t>
  </si>
  <si>
    <t>Báo cáo hoạt động chia sẻ và phân quyền tệp</t>
  </si>
  <si>
    <t>Người dùng có thể chọn tiêu chí lọc báo cáo theo thời gian, người chia sẻ, người nhận, hoặc tên tệp.</t>
  </si>
  <si>
    <t>Người dùng có thể xem tổng số lượt chia sẻ trong khoảng thời gian được chọn</t>
  </si>
  <si>
    <t>Người dùng có thể xem chi tiết hoạt động chia sẻ (ai chia sẻ, với ai, quyền được cấp, thời điểm)</t>
  </si>
  <si>
    <t>Người dùng có thể xem danh sách tệp được chia sẻ nhiều nhất trong kỳ</t>
  </si>
  <si>
    <t>Người dùng có thể xuất báo cáo hoạt động chia sẻ ra file Excel hoặc PDF.</t>
  </si>
  <si>
    <t>Người dùng có thể xem danh sách chia sẻ đã hết hạn hoặc đang bị tạm ngưng</t>
  </si>
  <si>
    <t>Báo cáo tổng hợp dung lượng lưu trữ đã sử dụng</t>
  </si>
  <si>
    <t>Người dùng có thể chọn tiêu chí lọc báo cáo theo thời gian, đơn vị, hoặc từng người dùng.</t>
  </si>
  <si>
    <t>Người dùng có thể xem tổng dung lượng đã sử dụng của toàn bộ hệ thống</t>
  </si>
  <si>
    <t>Người dùng có thể xem chi tiết dung lượng sử dụng theo từng đơn vị/phòng ban</t>
  </si>
  <si>
    <t>Người dùng có thể xem dung lượng lưu trữ đã dùng và còn lại của từng người dùng</t>
  </si>
  <si>
    <t>Người dùng có thể xem xu hướng sử dụng dung lượng lưu trữ theo thời gian</t>
  </si>
  <si>
    <t>Người dùng có thể xuất báo cáo dung lượng ra file Excel.</t>
  </si>
  <si>
    <t>Quản lý biểu mẫu trong toàn hệ thống hoặc trong đơn vị mình quản lý</t>
  </si>
  <si>
    <t>QTHT, QTĐV</t>
  </si>
  <si>
    <t>Người dùng có thể truy cập chức năng quản lý biểu mẫu</t>
  </si>
  <si>
    <t>Người dùng có thể tìm kiếm/lọc biểu mẫu theo tiêu chí</t>
  </si>
  <si>
    <t>Người dùng có thể xem danh sách biểu mẫu</t>
  </si>
  <si>
    <t>Người dùng có thể chọn tạo mới hoặc chỉnh sửa biểu mẫu</t>
  </si>
  <si>
    <t>Người dùng có thể nhập/cập nhật thông tin (tên, nội dung, cơ quan ban hành, ngày ban hành)</t>
  </si>
  <si>
    <t>Người dùng có thể tải lên hoặc thay thế file biểu mẫu</t>
  </si>
  <si>
    <t>Người dùng có thể lưu thông tin biểu mẫu và file đính kèm và nhận thông báo kết quả thành công</t>
  </si>
  <si>
    <t>Người dùng có thể xem kết quả lưu biểu mẫu và có thể tiếp tục tạo mới hoặc chỉnh sửa biểu mẫu khác</t>
  </si>
  <si>
    <t>Quản lý trạng thái hiệu lực biểu mẫu</t>
  </si>
  <si>
    <t>Người dùng có thể chọn biểu mẫu cần chỉnh sửa trạng thái</t>
  </si>
  <si>
    <t>Người dùng có thể chọn cập nhật trạng thái (còn hiệu lực/hết hiệu lực)</t>
  </si>
  <si>
    <t>Người dùng có thể xem danh sách biểu mẫu được lọc theo trạng thái hiệu lực</t>
  </si>
  <si>
    <t>Người dùng có thể xem lịch sử thay đổi trạng thái của biểu mẫu</t>
  </si>
  <si>
    <t>Quản lý Thùng rác (khôi phục và xóa vĩnh viễn tệp/thư mục)</t>
  </si>
  <si>
    <t>Người dùng có thể truy cập Thùng rác và xem danh sách toàn bộ tệp tin/thư mục đã bị xóa</t>
  </si>
  <si>
    <t>Người dùng có thể xem thông tin chi tiết từng mục trong Thùng rác (tên, loại, dung lượng, ngày)</t>
  </si>
  <si>
    <t>Người dùng có thể tìm kiếm và lọc tệp tin/thư mục trong Thùng rác theo tên, loại tệp hoặc ngày</t>
  </si>
  <si>
    <t>Người dùng có thể chọn một hoặc nhiều tệp tin/thư mục để khôi phục về vị trí lưu trữ ban đầu</t>
  </si>
  <si>
    <t>Người dùng có thể xác nhận khôi phục và xem cảnh báo nếu vị trí lưu trữ ban đầu đã tồn tại tệp/thư mục trùng tên</t>
  </si>
  <si>
    <t>Người dùng có thể chọn một hoặc nhiều tệp tin/thư mục để xóa vĩnh viễn khỏi Thùng rác trước khi hết 30 ngày</t>
  </si>
  <si>
    <t xml:space="preserve">Người dùng có thể xác nhận xóa vĩnh viễn, xem cảnh báo hành động không thể hoàn tác	</t>
  </si>
  <si>
    <t>Người dùng có thể nhận thông báo khi tệp/thư mục trong Thùng rác đã quá 30 ngày bị xóa vĩnh viễn</t>
  </si>
  <si>
    <t>Người dùng có thể xem thông báo kết quả thao tác trong Thùng rác (thành công/thất bại)</t>
  </si>
  <si>
    <t>Theo dõi và cảnh báo dung lượng lưu trữ cá nhân</t>
  </si>
  <si>
    <t>Người dùng có thể xem thanh trạng thái dung lượng đã dùng/tổng được cấp trên giao diện chính</t>
  </si>
  <si>
    <t>Người dùng có thể nhận cảnh báo khi dung lượng lưu trữ đạt 80% qua thông báo và/hoặc email công vụ. Hệ thống NTQLCQS sẽ tạm khóa chức năng tải lên khi đạt 100% và tự mở lại khi dung lượng được giải phóng</t>
  </si>
  <si>
    <t>6. Trao đổi nhanh, trao đổi tác nghiệp theo công việc, nhiệm vụ</t>
  </si>
  <si>
    <t>Trao đổi tác nghiệp cá nhân theo vụ việc/công việc</t>
  </si>
  <si>
    <t>Người dùng có thể có thề gửi và nhận tin nhắn cá nhân</t>
  </si>
  <si>
    <t>Người dùng có thể gửi tệp đính kèm từ máy tính</t>
  </si>
  <si>
    <t>Người dùng có thể thả biểu tượng cảm xúc cho tin nhắn</t>
  </si>
  <si>
    <t>Người dùng có thể sao chép/dán nội dung tin nhắn</t>
  </si>
  <si>
    <t>Người dùng có thể ghim/bỏ ghim tin nhắn quan trọng</t>
  </si>
  <si>
    <t>Người dùng có thể chuyển tiếp tin nhắn</t>
  </si>
  <si>
    <t>Người dùng có thể trả lời/trích dẫn tin nhắn</t>
  </si>
  <si>
    <t>Người dùng có thể đánh dấu tin nhắn</t>
  </si>
  <si>
    <t>Người dùng có thể thu hồi tin nhắn</t>
  </si>
  <si>
    <t>Người dùng có thể tìm kiếm tin nhắn</t>
  </si>
  <si>
    <t>Người dùng có thể xóa hội thoại tin nhắn</t>
  </si>
  <si>
    <t>Trao đổi tác nghiệp theo nhóm công tác</t>
  </si>
  <si>
    <t>Người dùng có thể tạo nhóm</t>
  </si>
  <si>
    <t>Người dùng có thể chỉnh sửa nhóm</t>
  </si>
  <si>
    <t>Người dùng có thể thêm mới/xóa thành viên trong nhóm</t>
  </si>
  <si>
    <t>Người dùng có thể rời nhóm</t>
  </si>
  <si>
    <t>Người dùng có thể giải tán nhóm</t>
  </si>
  <si>
    <t>Người dùng có thể thay đổi hình đại diện nhóm</t>
  </si>
  <si>
    <t>Người dùng có thể xem danh sách thành viên</t>
  </si>
  <si>
    <t>Người dùng có thể xóa lịch sử trò chuyện nhóm</t>
  </si>
  <si>
    <t>Người dùng có thể cấu hình tắt/mở thông báo nhóm</t>
  </si>
  <si>
    <t>Người dùng có thể nhắc tên của thành viên trong nhóm</t>
  </si>
  <si>
    <t>Người dùng có thể xóa hội thoại tin nhắn nhóm</t>
  </si>
  <si>
    <t>Quản lý tệp đính kèm trong trao đổi tác nghiệp</t>
  </si>
  <si>
    <t>Người dùng có thể tìm kiếm các tệp/hình ảnh trong trao đổi</t>
  </si>
  <si>
    <t>Người dùng có thể xem danh sách các tệp/hình ảnh trong trao đổi</t>
  </si>
  <si>
    <t>Người dùng có thể xem tin nhắn gốc của các tệp/hình ảnh</t>
  </si>
  <si>
    <t>Người dùng có thể xem chi tiết tệp/hình ảnh</t>
  </si>
  <si>
    <t>Người dùng có thể tải tệp/hình ảnh về máy tính</t>
  </si>
  <si>
    <t>Người dùng có thể xóa/thu hồi tệp/hình ảnh do mình gửi</t>
  </si>
  <si>
    <t>Người dùng có thể mở đường dẫn liên kết ra trình duyệt khác</t>
  </si>
  <si>
    <t>7. Tìm kiếm nhanh từ màn hình danh sách (danh bạ, giao việc, văn bản, nhiệm vụ,...)</t>
  </si>
  <si>
    <t>Tìm kiếm nhanh danh bạ từ giao diện danh sách</t>
  </si>
  <si>
    <t>Người dùng có thể nhập tên người dùng để thực hiện tra cứu danh bạ từ giao diện danh sách người dùng</t>
  </si>
  <si>
    <t>Người dùng có thể tra cứu danh bạ và xem danh sách kết quả phù hợp</t>
  </si>
  <si>
    <t>Người dùng có thể truy cập và xem thông tin chi tiết của người dùng tương ứng</t>
  </si>
  <si>
    <t>Tìm kiếm nhanh Văn bản đến từ giao diện danh sách</t>
  </si>
  <si>
    <t>Người dùng có thể nhập số văn bản, trích yếu để thực hiện tra cứu văn bản đến trực tiếp từ giao diện danh sách văn bản đến</t>
  </si>
  <si>
    <t>Người dùng có thể xem danh sách văn bản đến vừa tìm kiếm được từ danh sách</t>
  </si>
  <si>
    <t>Người dùng có thể lựa chọn văn bản đến để xem thông tin chi tiết</t>
  </si>
  <si>
    <t>Tìm kiếm nhanh Văn bản đi từ giao diện danh sách</t>
  </si>
  <si>
    <t>Người dùng có thể nhập số văn bản, trích yếu để thực hiện tra cứu văn bản đi</t>
  </si>
  <si>
    <t>Người dùng có thể thực hiện tra cứu văn bản đi trực tiếp từ giao diện danh sách văn bản đi</t>
  </si>
  <si>
    <t>Người dùng có thể lựa chọn văn bản đi để xem thông tin chi tiết</t>
  </si>
  <si>
    <t>Tìm kiếm nhanh chương trình, kế hoạch công tác năm từ giao diện danh sách</t>
  </si>
  <si>
    <t>Người dùng có thể nhập nội dung kế hoạch công tác năm để thực hiện tra cứu từ giao diện danh sách</t>
  </si>
  <si>
    <t>Người dùng có thể tra cứu chương trình, kế hoạch công tác năm và xem danh sách kết quả</t>
  </si>
  <si>
    <t>Người dùng có thể chọn một chương trình, kế hoạch công tác năm để xem thông tin chi tiết</t>
  </si>
  <si>
    <t>Tìm kiếm nhanh kế hoạch thúc đẩy tăng trưởng hai con số trên địa bàn thành phố</t>
  </si>
  <si>
    <t>Người dùng có thể nhập nội dung kế hoạch để thực hiện tra cứu từ giao diện danh sách kế hoạch</t>
  </si>
  <si>
    <t>Người dùng có thể tra cứu kế hoạch tăng trưởng và xem danh sách kết quả</t>
  </si>
  <si>
    <t>Người dùng có thể chọn kế hoạch để xem thông tin chi tiết</t>
  </si>
  <si>
    <t>8.  Quản lý thông báo và người gửi thông báo</t>
  </si>
  <si>
    <t>Quản lý danh mục loại thông báo (cấu hình)</t>
  </si>
  <si>
    <t>QTHT có thể truy cập và xem danh sách các danh mục thông báo trong hệ thống</t>
  </si>
  <si>
    <t>QTHT có thể thêm mới thông tin danh mục thông báo</t>
  </si>
  <si>
    <t>QTHT có thể cập nhật thông tin danh mục thông báo</t>
  </si>
  <si>
    <t>QTHT có thể tìm kiếm danh mục thông báo theo các tiêu chí</t>
  </si>
  <si>
    <t>QTHT có thể kích hoạt/vô hiệu hóa danh mục loại thông báo</t>
  </si>
  <si>
    <t>Quản lý thông báo (gửi/nhận/xem chi tiết)</t>
  </si>
  <si>
    <t>QTHT có thể truy cập và xem danh sách toàn bộ các thông báo trong hệ thống</t>
  </si>
  <si>
    <t>QTHT có thể tìm kiếm thông báo theo các tiêu chí và xem danh sách kết quả phù hợp</t>
  </si>
  <si>
    <t>QTHT có thể thêm mới nội dung thông báo đã tạo</t>
  </si>
  <si>
    <t>QTHT có thể cập nhật nội dung thông báo đã tạo</t>
  </si>
  <si>
    <t>QTHT có thể lọc thông báo.Hệ thống hiển thị danh sách thông báo theo điều kiện lọc đã chọn</t>
  </si>
  <si>
    <t>Phân quyền người được phép gửi thông báo</t>
  </si>
  <si>
    <t>QTHT có thể cấu hình phân quyền gửi thông báo và xem danh sách phân quyền hiện tại</t>
  </si>
  <si>
    <t>QTHT có thể chọn nhóm quyền (toàn đơn vị, theo phòng ban/ nhóm)</t>
  </si>
  <si>
    <t>QTHT có thể chọn người dùng cần được phân quyền</t>
  </si>
  <si>
    <t>Người dùng có thể xem danh sách người đã được phân quyền gửi thông báo và chỉnh sửa nếu cần</t>
  </si>
  <si>
    <t>Giám sát vận hành và nhật ký hệ thống</t>
  </si>
  <si>
    <t>Người dùng có thể xem log truy cập, log thao tác theo thời gian</t>
  </si>
  <si>
    <t>Người dùng có thể lọc danh sách log</t>
  </si>
  <si>
    <t>Người dùng có thể cấu hình cảnh báo sự cố (job lỗi, hàng đợi, tích hợp)</t>
  </si>
  <si>
    <t>Người dùng có thể xuất log ra file excel</t>
  </si>
  <si>
    <t>Quản lý hướng dẫn sử dụng trên web</t>
  </si>
  <si>
    <t>Người dùng truy cập vào chức năng Hướng dẫn sử dụng. Hệ thống hiển thị giao diện hướng dẫn sử dụng</t>
  </si>
  <si>
    <t>Người dùng nhấn vào các mục Hướng dẫn sử dụng. Hệ thống hiển thị danh sách tài liệu</t>
  </si>
  <si>
    <t>Người dùng chọn file Hướng dẫn sử dụng. Hệ thống hiển thị giao diện cho phép xem file tài liệu</t>
  </si>
  <si>
    <t>Người dùng chọn tải file. Hệ thống thực hiện tải file tài liệu xuống thiết bị</t>
  </si>
  <si>
    <t>9. Tin tức nội bộ + Quản trị nội dung/hiển thị và cấu hình chuyên mục</t>
  </si>
  <si>
    <t>Quản trị chuyên mục tin tức và cấu trúc nội dung</t>
  </si>
  <si>
    <t>Quản trị có thể tìm kiếm và lọc danh sách các chuyên mục</t>
  </si>
  <si>
    <t>Quản trị có thể xem danh sách các chuyên mục</t>
  </si>
  <si>
    <t>Quản trị có thể thêm mới chuyên mục tin tức (bao gồm tên, mô tả, cấp độ).</t>
  </si>
  <si>
    <t>Quản trị có thể cập nhật thông tin (chỉnh sửa tên, mô tả) của chuyên mục hiện có.</t>
  </si>
  <si>
    <t>Quản trị có thể thực hiện thao tác xóa hoặc tạm ngưng hiển thị chuyên mục.</t>
  </si>
  <si>
    <t>Người dùng có thể xóa chuyên mục và nhận cảnh báo khi chuyên mục còn bài viết liên quan</t>
  </si>
  <si>
    <t>Quản trị có thể gán quyền đăng bài (bài viết, thông báo) cho người dùng hoặc nhóm người dùng theo từng chuyên mục.</t>
  </si>
  <si>
    <t>Quản trị bài viết tin tức</t>
  </si>
  <si>
    <t>Quản trị có thể tìm kiếm và lọc danh sách các bài viết</t>
  </si>
  <si>
    <t>Quản trị có thể xem danh sách các bài viết</t>
  </si>
  <si>
    <t>Quản trị có thể thêm mới bài viết, chọn chuyên mục và nhập nội dung.</t>
  </si>
  <si>
    <t>Quản trị có thể cập nhật nội dung, tiêu đề, hoặc chuyên mục của bài viết đã có.</t>
  </si>
  <si>
    <t>Quản trị có thể xóa (hoặc ẩn) bài viết khỏi hệ thống.</t>
  </si>
  <si>
    <t>Quản trị có thể duyệt bài viết trước khi công bố ra ngoài (nếu có quy trình duyệt).</t>
  </si>
  <si>
    <t>Người dùng có thể gửi bài viết để duyệt và xem trạng thái bài viết (Bản nháp/Chờ duyệt/Đã đăng)</t>
  </si>
  <si>
    <t>Quản trị có thể đính kèm file (tài liệu, hình ảnh) vào bài viết.</t>
  </si>
  <si>
    <t>Trang thông tin hiển thị và tìm kiếm tin tức nội bộ</t>
  </si>
  <si>
    <t>Người dùng có thể truy cập trang tin tức, hiển thị danh sách theo thứ tự thời gian/ưu tiên</t>
  </si>
  <si>
    <t>Người dùng có thể xem danh sách tin tức trên trang chủ hoặc trang chuyên mục.</t>
  </si>
  <si>
    <t>Người dùng có thể nhập từ khóa để tìm kiếm tin tức theo tiêu đề/nội dung, hoặc lọc theo chuyên mục, và xem danh sách kết quả phù hợp</t>
  </si>
  <si>
    <t>Người dùng có thể chọn tin tức để xem chi tiết nội dung bài viết (nội dung, hình ảnh, file đính kèm)</t>
  </si>
  <si>
    <t>Quản trị bình luận nội dung</t>
  </si>
  <si>
    <t>Người dùng có thể tìm kiếm và lọc danh sách các bình luận</t>
  </si>
  <si>
    <t>Người dùng có thể xem danh sách các bình luận</t>
  </si>
  <si>
    <t>Người dùng có thể nhập nội dung và gửi bình luận.</t>
  </si>
  <si>
    <t>Quản trị có thể kiểm duyệt, phê duyệt bình luận (tùy thuộc vào quyền hạn).</t>
  </si>
  <si>
    <t>Người dùng có thể xem các bình luận đã được kiểm duyệt</t>
  </si>
  <si>
    <t>Quản trị có thể xóa hoặc trả lời bình luận (tùy thuộc vào quyền hạn).</t>
  </si>
  <si>
    <t>Quản trị khảo sát/bình chọn nội bộ</t>
  </si>
  <si>
    <t>Quản trị có thể xem Danh sách các bầu chọn (Polls) đang hoạt động và đã kết thúc.</t>
  </si>
  <si>
    <t>Quản trị có thể tạo mới một cuộc bầu chọn/thăm dò ý kiến (đặt câu hỏi, tùy chọn, thời gian).</t>
  </si>
  <si>
    <t>Quản trị có thể nhúng (embed) các cuộc thăm dò ý kiến (polls) vào bài viết hoặc trang cụ thể.</t>
  </si>
  <si>
    <t>Người dùng có thể bỏ phiếu/trả lời thăm dò ý kiến đang mở</t>
  </si>
  <si>
    <t>Người dùng có thể gửi phiếu bầu và xem kết quả được cập nhật theo thời gian thực</t>
  </si>
  <si>
    <t>Quản trị có thể xuất báo cáo kết quả bầu chọn theo thời gian.</t>
  </si>
  <si>
    <t>Quản trị giao diện hiển thị</t>
  </si>
  <si>
    <t>Quản trị có thể quản lý giao diện và trải nghiệm hình ảnh của website, bao gồm bố cục, màu sắc, phông chữ.</t>
  </si>
  <si>
    <t>Quản trị có thể quản lý các mẫu bố cục (templates) khác nhau cho các loại trang (trang chủ, bài viết, liên hệ…).</t>
  </si>
  <si>
    <t>Quản trị có thể chọn mẫu bố cục (template), hiển thị cấu trúc nội dung tương ứng</t>
  </si>
  <si>
    <t>Quản trị có thể sử dụng công cụ Customizer để xem trước và thay đổi nhiều yếu tố như logo, menu, widget.</t>
  </si>
  <si>
    <t>Quản trị có thể lưu thay đổi giao diện, áp dụng cho toàn bộ website</t>
  </si>
  <si>
    <t>Quản trị khối nội dung hiển thị</t>
  </si>
  <si>
    <t>Quản trị có thể thêm mới khối nội dung tùy chỉnh (đặt tên, nhập nội dung, cấu hình hiển thị).</t>
  </si>
  <si>
    <t>Người dùng có thể xem danh sách các khối nội dung có thể tùy biến (Content Blocks/Widgets)</t>
  </si>
  <si>
    <t>Quản trị có thể định nghĩa các khối nội dung mapping (ánh xạ) vào từng chuyên mục tin cụ thể hoặc vị trí trên giao diện.</t>
  </si>
  <si>
    <t>Quản trị có thể lưu cấu hình mapping khối nội dung, đảm bảo hiển thị đúng theo vị trí</t>
  </si>
  <si>
    <t>Quản trị có thể chỉnh sửa, kích hoạt hoặc vô hiệu hóa các khối nội dung này.</t>
  </si>
  <si>
    <t>Quản trị menu và điều hướng hệ thống</t>
  </si>
  <si>
    <t>Quản trị có thể tạo và quản lý các menu điều hướng chính của website.</t>
  </si>
  <si>
    <t>Quản trị có thể sắp xếp thứ tự và cấp độ (menu cha, menu con) của các mục trong menu.</t>
  </si>
  <si>
    <t>Quản trị có thể gán menu vào vị trí trên giao diện (Header/Footer/Sidebar)</t>
  </si>
  <si>
    <t>Quản trị có thể thêm nhiều loại liên kết đa dạng vào menu (link đến trang, bài viết, chuyên mục, liên kết ngoài).</t>
  </si>
  <si>
    <t>Quản trị có thể chỉnh sửa các menu điều hướng</t>
  </si>
  <si>
    <t>Quản trị có thể xóa các menu điều hướng</t>
  </si>
  <si>
    <t>Người dùng có thể xem menu điều hướng đã được cấu hình theo từng vị trí hiển thị</t>
  </si>
  <si>
    <t>Quản trị thư viện Media dùng chung</t>
  </si>
  <si>
    <t>Quản trị có thể tải lên và quản lý kho lưu trữ tập trung hình ảnh.</t>
  </si>
  <si>
    <t>Quản trị có thể tải lên và quản lý kho lưu trữ tập trung Video.</t>
  </si>
  <si>
    <t>Quản trị có thể tải lên và quản lý kho lưu trữ tập trung tài liệu (PDF, Word, v.v.).</t>
  </si>
  <si>
    <t>Người dùng có thể tải lên hình ảnh/video và xem phiên bản thu nhỏ (thumbnails) được tạo tự động</t>
  </si>
  <si>
    <t>Quản trị có thể xóa hình ảnh/Video đã tải lên kho lưu trữ tập trung</t>
  </si>
  <si>
    <t>Quản trị có thể tìm kiếm, sắp xếp và lọc tập tin trong thư viện Media theo tên, loại hoặc ngày tải lên.</t>
  </si>
  <si>
    <t>Quản trị có thể gắn thẻ (tags) và mô tả (alt text) cho các tập tin Media.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</si>
</sst>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quot;) &quot;###\-####"/>
  </numFmts>
  <fonts count="6" x14ac:knownFonts="1">
    <font>
      <sz val="11"/>
      <color theme="1"/>
      <name val="Calibri"/>
      <family val="2"/>
      <charset val="1"/>
    </font>
    <font>
      <sz val="14"/>
      <name val="Times New Roman"/>
      <family val="1"/>
      <charset val="1"/>
    </font>
    <font>
      <b/>
      <sz val="14"/>
      <name val="Times New Roman"/>
      <family val="1"/>
      <charset val="1"/>
    </font>
    <font>
      <sz val="14"/>
      <color theme="1"/>
      <name val="Times New Roman"/>
      <family val="1"/>
      <charset val="1"/>
    </font>
    <font>
      <sz val="13"/>
      <name val="Times New Roman"/>
      <family val="1"/>
      <charset val="1"/>
    </font>
    <font>
      <sz val="12"/>
      <name val="Times New Roman"/>
      <family val="1"/>
      <charset val="1"/>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8">
    <xf numFmtId="0" fontId="0" fillId="0" borderId="0" xfId="0"/>
    <xf numFmtId="0" fontId="1" fillId="0" borderId="0" xfId="0" applyFont="1" applyAlignment="1">
      <alignment horizontal="left" vertical="top"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1" fillId="0" borderId="0" xfId="0" applyFont="1" applyAlignment="1">
      <alignment horizontal="center" vertical="top" wrapText="1"/>
    </xf>
    <xf numFmtId="0" fontId="1" fillId="0" borderId="0" xfId="0" applyFont="1"/>
    <xf numFmtId="0" fontId="1" fillId="0" borderId="0" xfId="0" applyFont="1" applyAlignment="1">
      <alignment vertical="top"/>
    </xf>
    <xf numFmtId="0" fontId="2" fillId="0" borderId="1" xfId="0" applyFont="1" applyBorder="1" applyAlignment="1">
      <alignment horizontal="left" vertical="top"/>
    </xf>
    <xf numFmtId="0" fontId="0" fillId="0" borderId="2" xfId="0" applyBorder="1"/>
    <xf numFmtId="0" fontId="0" fillId="0" borderId="3" xfId="0" applyBorder="1"/>
    <xf numFmtId="0" fontId="2" fillId="0" borderId="1" xfId="0" applyFont="1" applyBorder="1" applyAlignment="1">
      <alignment horizontal="center" vertical="top" wrapText="1"/>
    </xf>
    <xf numFmtId="0" fontId="2" fillId="0" borderId="1" xfId="0" applyFont="1" applyBorder="1" applyAlignment="1">
      <alignment horizontal="left" vertical="center" wrapText="1"/>
    </xf>
    <xf numFmtId="0" fontId="1" fillId="0" borderId="1" xfId="0" applyFont="1" applyBorder="1" applyAlignment="1">
      <alignment horizontal="center" vertical="top"/>
    </xf>
    <xf numFmtId="0" fontId="1" fillId="0" borderId="1" xfId="0" applyFont="1" applyBorder="1" applyAlignment="1">
      <alignment vertical="top"/>
    </xf>
    <xf numFmtId="0" fontId="1" fillId="0" borderId="1" xfId="0" applyFont="1" applyBorder="1" applyAlignment="1">
      <alignment horizontal="center" vertical="top" wrapText="1"/>
    </xf>
    <xf numFmtId="49" fontId="1" fillId="0" borderId="1" xfId="0" applyNumberFormat="1"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pplyProtection="1">
      <alignment horizontal="left" vertical="center" wrapText="1"/>
      <protection locked="0"/>
    </xf>
    <xf numFmtId="0" fontId="3" fillId="0" borderId="0" xfId="0" applyFont="1" applyAlignment="1">
      <alignment vertical="top"/>
    </xf>
    <xf numFmtId="0" fontId="1" fillId="0" borderId="1" xfId="0" applyFont="1" applyBorder="1" applyAlignment="1">
      <alignment wrapText="1"/>
    </xf>
    <xf numFmtId="9" fontId="1" fillId="0" borderId="0" xfId="0" applyNumberFormat="1" applyFont="1" applyAlignment="1">
      <alignment horizontal="left" vertical="top" wrapText="1"/>
    </xf>
    <xf numFmtId="9" fontId="1" fillId="0" borderId="0" xfId="0" applyNumberFormat="1" applyFont="1" applyAlignment="1">
      <alignment vertical="top"/>
    </xf>
    <xf numFmtId="0" fontId="1" fillId="0" borderId="1" xfId="0" applyFont="1" applyBorder="1" applyAlignment="1">
      <alignment horizontal="left" vertical="center" wrapText="1"/>
    </xf>
    <xf numFmtId="0" fontId="1" fillId="0" borderId="1" xfId="0" applyFont="1" applyBorder="1" applyAlignment="1" applyProtection="1">
      <alignment vertical="top" wrapText="1"/>
      <protection locked="0"/>
    </xf>
    <xf numFmtId="0" fontId="1" fillId="2" borderId="1" xfId="0" applyFont="1" applyFill="1" applyBorder="1" applyAlignment="1">
      <alignment horizontal="left" vertical="center" wrapText="1"/>
    </xf>
    <xf numFmtId="0" fontId="1" fillId="2" borderId="1" xfId="0" applyFont="1" applyFill="1" applyBorder="1" applyAlignment="1">
      <alignment vertical="top" wrapText="1"/>
    </xf>
    <xf numFmtId="0" fontId="1" fillId="2" borderId="1" xfId="0" applyFont="1" applyFill="1" applyBorder="1" applyAlignment="1">
      <alignment horizontal="center" vertical="top" wrapText="1"/>
    </xf>
    <xf numFmtId="0" fontId="1" fillId="0" borderId="1" xfId="0" applyFont="1" applyBorder="1" applyAlignment="1">
      <alignment horizontal="left" vertical="top" wrapText="1"/>
    </xf>
    <xf numFmtId="49" fontId="1" fillId="0" borderId="0" xfId="0" applyNumberFormat="1" applyFont="1" applyAlignment="1">
      <alignment vertical="top" wrapText="1"/>
    </xf>
    <xf numFmtId="0" fontId="1" fillId="0" borderId="1" xfId="0" applyFont="1" applyBorder="1" applyAlignment="1">
      <alignment horizontal="center" vertical="center" wrapText="1"/>
    </xf>
    <xf numFmtId="0" fontId="4" fillId="0" borderId="1" xfId="0" applyFont="1" applyBorder="1" applyAlignment="1" applyProtection="1">
      <alignment horizontal="left" vertical="center" wrapText="1"/>
      <protection locked="0"/>
    </xf>
    <xf numFmtId="0" fontId="4" fillId="0" borderId="1" xfId="0" applyFont="1" applyBorder="1" applyAlignment="1">
      <alignment horizontal="center" vertical="center" wrapText="1"/>
    </xf>
    <xf numFmtId="0" fontId="4" fillId="0" borderId="1" xfId="0" applyFont="1" applyBorder="1" applyAlignment="1">
      <alignment vertical="center" wrapText="1"/>
    </xf>
    <xf numFmtId="164" fontId="4" fillId="0" borderId="1" xfId="0" applyNumberFormat="1" applyFont="1" applyBorder="1" applyAlignment="1">
      <alignment horizontal="center" vertical="center" wrapText="1"/>
    </xf>
    <xf numFmtId="0" fontId="2" fillId="0" borderId="1" xfId="0" applyFont="1" applyBorder="1" applyAlignment="1">
      <alignment horizontal="left" vertical="top"/>
    </xf>
    <xf numFmtId="49" fontId="1" fillId="0" borderId="1" xfId="0" applyNumberFormat="1" applyFont="1" applyBorder="1" applyAlignment="1">
      <alignment vertical="top" wrapText="1"/>
    </xf>
    <xf numFmtId="0" fontId="5" fillId="0" borderId="1" xfId="0" applyFont="1" applyBorder="1" applyAlignment="1">
      <alignment vertical="center" wrapText="1"/>
    </xf>
    <xf numFmtId="0" fontId="1" fillId="0" borderId="0" xfId="0" applyFont="1" applyAlignment="1">
      <alignment horizontal="center" vertical="top"/>
    </xf>
  </cellXfs>
  <cellStyles count="1">
    <cellStyle name="Normal" xfId="0" builtinId="0"/>
  </cellStyles>
  <dxfs count="1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vietinfotechvn-my.sharepoint.com/personal/sondh_vietinfo_tech/Documents/Documents/TTC&#272;S/N&#7873;n%20t&#7843;ng%20s&#7889;%20Tp%20HCM/BCKTKT/BCKTKT%20v0.22/1.1%20TTC&#272;S_NTS_Danh%20s&#225;ch%20UC%20(v0.22).xlsx" TargetMode="External"/><Relationship Id="rId1" Type="http://schemas.openxmlformats.org/officeDocument/2006/relationships/externalLinkPath" Target="https://vietinfotechvn-my.sharepoint.com/personal/sondh_vietinfo_tech/Documents/Documents/TTC&#272;S/N&#7873;n%20t&#7843;ng%20s&#7889;%20Tp%20HCM/BCKTKT/BCKTKT%20v0.22/1.1%20TTC&#272;S_NTS_Danh%20s&#225;ch%20UC%20(v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TongHop_UC"/>
      <sheetName val="PLII"/>
      <sheetName val="1.Web"/>
      <sheetName val="2.App"/>
      <sheetName val="3.Master_App"/>
      <sheetName val="4.QTHT"/>
    </sheetNames>
    <sheetDataSet>
      <sheetData sheetId="0" refreshError="1"/>
      <sheetData sheetId="1" refreshError="1"/>
      <sheetData sheetId="2"/>
      <sheetData sheetId="3" refreshError="1"/>
      <sheetData sheetId="4" refreshError="1"/>
      <sheetData sheetId="5" refreshError="1"/>
    </sheetDataSet>
  </externalBook>
</externalLink>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AC678-D085-467B-B24B-B8FBCB174C38}">
  <dimension ref="A1:W599"/>
  <sheetViews>
    <sheetView tabSelected="1" zoomScale="85" zoomScaleNormal="85" workbookViewId="0">
      <pane ySplit="1" topLeftCell="A588" activePane="bottomLeft" state="frozen"/>
      <selection sqref="A1:C1"/>
      <selection pane="bottomLeft" sqref="A1:C1"/>
    </sheetView>
  </sheetViews>
  <sheetFormatPr defaultColWidth="12.453125" defaultRowHeight="18" outlineLevelRow="1" x14ac:dyDescent="0.35"/>
  <cols>
    <col min="1" max="1" width="3.81640625" style="6" customWidth="1"/>
    <col min="2" max="2" width="6.08984375" style="6" customWidth="1"/>
    <col min="3" max="3" width="4.81640625" style="6" hidden="1" customWidth="1"/>
    <col min="4" max="4" width="39" style="6" customWidth="1"/>
    <col min="5" max="5" width="16.08984375" style="37" customWidth="1"/>
    <col min="6" max="6" width="51.453125" style="28" customWidth="1"/>
    <col min="7" max="7" width="7.453125" style="37" customWidth="1"/>
    <col min="8" max="8" width="12.1796875" style="6" customWidth="1"/>
    <col min="9" max="9" width="8.453125" style="37" customWidth="1"/>
    <col min="10" max="10" width="14" style="6" customWidth="1"/>
    <col min="11" max="11" width="13.81640625" style="6" customWidth="1"/>
    <col min="12" max="12" width="10.81640625" style="6" customWidth="1"/>
    <col min="13" max="13" width="5.81640625" style="6" customWidth="1"/>
    <col min="14" max="14" width="6.81640625" style="6" customWidth="1"/>
    <col min="15" max="15" width="18.81640625" style="6" customWidth="1"/>
    <col min="16" max="23" width="10" style="6" customWidth="1"/>
    <col min="24" max="24" width="12.453125" style="6" customWidth="1"/>
    <col min="25" max="16384" width="12.453125" style="6"/>
  </cols>
  <sheetData>
    <row r="1" spans="1:23" ht="70" customHeight="1" x14ac:dyDescent="0.4">
      <c r="A1" s="1"/>
      <c r="B1" s="2" t="s">
        <v>0</v>
      </c>
      <c r="C1" s="2"/>
      <c r="D1" s="2" t="s">
        <v>1</v>
      </c>
      <c r="E1" s="2" t="s">
        <v>2</v>
      </c>
      <c r="F1" s="3" t="s">
        <v>3</v>
      </c>
      <c r="G1" s="2" t="s">
        <v>4</v>
      </c>
      <c r="H1" s="2" t="s">
        <v>5</v>
      </c>
      <c r="I1" s="4"/>
      <c r="J1" s="5"/>
      <c r="K1" s="4"/>
      <c r="L1" s="4"/>
      <c r="M1" s="4"/>
      <c r="N1" s="1"/>
      <c r="O1" s="1"/>
      <c r="P1" s="1"/>
      <c r="Q1" s="1"/>
      <c r="R1" s="1"/>
      <c r="S1" s="1"/>
      <c r="T1" s="1"/>
      <c r="U1" s="1"/>
      <c r="V1" s="1"/>
      <c r="W1" s="1"/>
    </row>
    <row r="2" spans="1:23" x14ac:dyDescent="0.35">
      <c r="A2" s="1"/>
      <c r="B2" s="7" t="s">
        <v>6</v>
      </c>
      <c r="C2" s="8"/>
      <c r="D2" s="8"/>
      <c r="E2" s="8"/>
      <c r="F2" s="9"/>
      <c r="G2" s="10"/>
      <c r="H2" s="10"/>
      <c r="I2" s="4"/>
      <c r="J2" s="1"/>
      <c r="K2" s="1"/>
      <c r="L2" s="1"/>
      <c r="M2" s="1"/>
      <c r="N2" s="1"/>
      <c r="O2" s="1"/>
      <c r="P2" s="1"/>
      <c r="Q2" s="1"/>
      <c r="R2" s="1"/>
      <c r="S2" s="1"/>
      <c r="T2" s="1"/>
      <c r="U2" s="1"/>
      <c r="V2" s="1"/>
      <c r="W2" s="1"/>
    </row>
    <row r="3" spans="1:23" x14ac:dyDescent="0.35">
      <c r="B3" s="11" t="s">
        <v>7</v>
      </c>
      <c r="C3" s="8"/>
      <c r="D3" s="8"/>
      <c r="E3" s="8"/>
      <c r="F3" s="9"/>
      <c r="G3" s="12"/>
      <c r="H3" s="13"/>
      <c r="I3" s="4"/>
    </row>
    <row r="4" spans="1:23" x14ac:dyDescent="0.35">
      <c r="B4" s="11" t="s">
        <v>8</v>
      </c>
      <c r="C4" s="8"/>
      <c r="D4" s="8"/>
      <c r="E4" s="8"/>
      <c r="F4" s="9"/>
      <c r="G4" s="12"/>
      <c r="H4" s="13"/>
      <c r="I4" s="4"/>
    </row>
    <row r="5" spans="1:23" ht="36" customHeight="1" outlineLevel="1" x14ac:dyDescent="0.35">
      <c r="B5" s="14">
        <f>IF(D5&lt;&gt;"",COUNTA(D$2:D5),"")</f>
        <v>1</v>
      </c>
      <c r="C5" s="14">
        <f t="shared" ref="C5:C22" si="0">IF(B5="",C4,B5)</f>
        <v>1</v>
      </c>
      <c r="D5" s="15" t="s">
        <v>9</v>
      </c>
      <c r="E5" s="16" t="s">
        <v>10</v>
      </c>
      <c r="F5" s="17"/>
      <c r="G5" s="14" t="str">
        <f>IF(ISBLANK(F5),"B","")</f>
        <v>B</v>
      </c>
      <c r="H5" s="14" t="str">
        <f>IF(OR(I5="",I5=-1),"",IF(I5&lt;4,"Đơn giản",IF(I5&lt;8,"Trung bình","Phức tạp")))</f>
        <v>Trung bình</v>
      </c>
      <c r="I5" s="4">
        <f t="shared" ref="I5:I22" si="1">IF(B5="","", COUNTIF($C:$C,B5)-1)</f>
        <v>4</v>
      </c>
    </row>
    <row r="6" spans="1:23" ht="54" customHeight="1" outlineLevel="1" x14ac:dyDescent="0.35">
      <c r="B6" s="14" t="str">
        <f>IF(D6&lt;&gt;"",COUNTA(D$2:D6),"")</f>
        <v/>
      </c>
      <c r="C6" s="14">
        <f t="shared" si="0"/>
        <v>1</v>
      </c>
      <c r="D6" s="15"/>
      <c r="E6" s="16"/>
      <c r="F6" s="17" t="s">
        <v>11</v>
      </c>
      <c r="G6" s="14"/>
      <c r="H6" s="14"/>
      <c r="I6" s="4" t="str">
        <f t="shared" si="1"/>
        <v/>
      </c>
    </row>
    <row r="7" spans="1:23" ht="54" customHeight="1" outlineLevel="1" x14ac:dyDescent="0.35">
      <c r="B7" s="14" t="str">
        <f>IF(D7&lt;&gt;"",COUNTA(D$2:D7),"")</f>
        <v/>
      </c>
      <c r="C7" s="14">
        <f t="shared" si="0"/>
        <v>1</v>
      </c>
      <c r="D7" s="15"/>
      <c r="E7" s="16"/>
      <c r="F7" s="17" t="s">
        <v>12</v>
      </c>
      <c r="G7" s="14"/>
      <c r="H7" s="14"/>
      <c r="I7" s="4" t="str">
        <f t="shared" si="1"/>
        <v/>
      </c>
    </row>
    <row r="8" spans="1:23" ht="36" customHeight="1" outlineLevel="1" x14ac:dyDescent="0.35">
      <c r="B8" s="14" t="str">
        <f>IF(D8&lt;&gt;"",COUNTA(D$2:D8),"")</f>
        <v/>
      </c>
      <c r="C8" s="14">
        <f t="shared" si="0"/>
        <v>1</v>
      </c>
      <c r="D8" s="15"/>
      <c r="E8" s="16"/>
      <c r="F8" s="17" t="s">
        <v>13</v>
      </c>
      <c r="G8" s="14"/>
      <c r="H8" s="14"/>
      <c r="I8" s="4" t="str">
        <f t="shared" si="1"/>
        <v/>
      </c>
    </row>
    <row r="9" spans="1:23" ht="36" customHeight="1" outlineLevel="1" x14ac:dyDescent="0.35">
      <c r="B9" s="14" t="str">
        <f>IF(D9&lt;&gt;"",COUNTA(D$2:D9),"")</f>
        <v/>
      </c>
      <c r="C9" s="14">
        <f t="shared" si="0"/>
        <v>1</v>
      </c>
      <c r="D9" s="15"/>
      <c r="E9" s="16"/>
      <c r="F9" s="17" t="s">
        <v>14</v>
      </c>
      <c r="G9" s="14"/>
      <c r="H9" s="14"/>
      <c r="I9" s="4" t="str">
        <f t="shared" si="1"/>
        <v/>
      </c>
    </row>
    <row r="10" spans="1:23" ht="36" customHeight="1" outlineLevel="1" x14ac:dyDescent="0.35">
      <c r="B10" s="14">
        <f>IF(D10&lt;&gt;"",COUNTA(D$2:D10),"")</f>
        <v>2</v>
      </c>
      <c r="C10" s="14">
        <f t="shared" si="0"/>
        <v>2</v>
      </c>
      <c r="D10" s="15" t="s">
        <v>15</v>
      </c>
      <c r="E10" s="16" t="s">
        <v>10</v>
      </c>
      <c r="F10" s="17"/>
      <c r="G10" s="14" t="str">
        <f>IF(ISBLANK(F10),"B","")</f>
        <v>B</v>
      </c>
      <c r="H10" s="14" t="str">
        <f>IF(OR(I10="",I10=-1),"",IF(I10&lt;4,"Đơn giản",IF(I10&lt;8,"Trung bình","Phức tạp")))</f>
        <v>Trung bình</v>
      </c>
      <c r="I10" s="4">
        <f t="shared" si="1"/>
        <v>4</v>
      </c>
    </row>
    <row r="11" spans="1:23" ht="36" customHeight="1" outlineLevel="1" x14ac:dyDescent="0.35">
      <c r="B11" s="14" t="str">
        <f>IF(D11&lt;&gt;"",COUNTA(D$2:D11),"")</f>
        <v/>
      </c>
      <c r="C11" s="14">
        <f t="shared" si="0"/>
        <v>2</v>
      </c>
      <c r="D11" s="15"/>
      <c r="E11" s="16"/>
      <c r="F11" s="17" t="s">
        <v>16</v>
      </c>
      <c r="G11" s="14"/>
      <c r="H11" s="14"/>
      <c r="I11" s="4" t="str">
        <f t="shared" si="1"/>
        <v/>
      </c>
    </row>
    <row r="12" spans="1:23" ht="36" customHeight="1" outlineLevel="1" x14ac:dyDescent="0.35">
      <c r="B12" s="14" t="str">
        <f>IF(D12&lt;&gt;"",COUNTA(D$2:D12),"")</f>
        <v/>
      </c>
      <c r="C12" s="14">
        <f t="shared" si="0"/>
        <v>2</v>
      </c>
      <c r="D12" s="15"/>
      <c r="E12" s="16"/>
      <c r="F12" s="17" t="s">
        <v>17</v>
      </c>
      <c r="G12" s="14"/>
      <c r="H12" s="14"/>
      <c r="I12" s="4" t="str">
        <f t="shared" si="1"/>
        <v/>
      </c>
    </row>
    <row r="13" spans="1:23" ht="36" customHeight="1" outlineLevel="1" x14ac:dyDescent="0.35">
      <c r="B13" s="14" t="str">
        <f>IF(D13&lt;&gt;"",COUNTA(D$2:D13),"")</f>
        <v/>
      </c>
      <c r="C13" s="14">
        <f t="shared" si="0"/>
        <v>2</v>
      </c>
      <c r="D13" s="15"/>
      <c r="E13" s="16"/>
      <c r="F13" s="17" t="s">
        <v>18</v>
      </c>
      <c r="G13" s="14"/>
      <c r="H13" s="14"/>
      <c r="I13" s="4" t="str">
        <f t="shared" si="1"/>
        <v/>
      </c>
    </row>
    <row r="14" spans="1:23" ht="36" customHeight="1" outlineLevel="1" x14ac:dyDescent="0.35">
      <c r="B14" s="14" t="str">
        <f>IF(D14&lt;&gt;"",COUNTA(D$2:D14),"")</f>
        <v/>
      </c>
      <c r="C14" s="14">
        <f t="shared" si="0"/>
        <v>2</v>
      </c>
      <c r="D14" s="15"/>
      <c r="E14" s="16"/>
      <c r="F14" s="17" t="s">
        <v>19</v>
      </c>
      <c r="G14" s="14"/>
      <c r="H14" s="14"/>
      <c r="I14" s="4" t="str">
        <f t="shared" si="1"/>
        <v/>
      </c>
    </row>
    <row r="15" spans="1:23" ht="36" customHeight="1" outlineLevel="1" x14ac:dyDescent="0.35">
      <c r="B15" s="14">
        <f>IF(D15&lt;&gt;"",COUNTA(D$2:D15),"")</f>
        <v>3</v>
      </c>
      <c r="C15" s="14">
        <f t="shared" si="0"/>
        <v>3</v>
      </c>
      <c r="D15" s="15" t="s">
        <v>20</v>
      </c>
      <c r="E15" s="16" t="s">
        <v>10</v>
      </c>
      <c r="F15" s="17"/>
      <c r="G15" s="14" t="str">
        <f>IF(ISBLANK(F15),"B","")</f>
        <v>B</v>
      </c>
      <c r="H15" s="14" t="str">
        <f>IF(OR(I15="",I15=-1),"",IF(I15&lt;4,"Đơn giản",IF(I15&lt;8,"Trung bình","Phức tạp")))</f>
        <v>Đơn giản</v>
      </c>
      <c r="I15" s="4">
        <f t="shared" si="1"/>
        <v>3</v>
      </c>
    </row>
    <row r="16" spans="1:23" outlineLevel="1" x14ac:dyDescent="0.35">
      <c r="B16" s="14" t="str">
        <f>IF(D16&lt;&gt;"",COUNTA(D$2:D16),"")</f>
        <v/>
      </c>
      <c r="C16" s="14">
        <f t="shared" si="0"/>
        <v>3</v>
      </c>
      <c r="D16" s="15"/>
      <c r="E16" s="16"/>
      <c r="F16" s="17" t="s">
        <v>21</v>
      </c>
      <c r="G16" s="14"/>
      <c r="H16" s="14"/>
      <c r="I16" s="4" t="str">
        <f t="shared" si="1"/>
        <v/>
      </c>
    </row>
    <row r="17" spans="2:9" ht="72" customHeight="1" outlineLevel="1" x14ac:dyDescent="0.35">
      <c r="B17" s="14" t="str">
        <f>IF(D17&lt;&gt;"",COUNTA(D$2:D17),"")</f>
        <v/>
      </c>
      <c r="C17" s="14">
        <f t="shared" si="0"/>
        <v>3</v>
      </c>
      <c r="D17" s="15"/>
      <c r="E17" s="16"/>
      <c r="F17" s="17" t="s">
        <v>22</v>
      </c>
      <c r="G17" s="14"/>
      <c r="H17" s="14"/>
      <c r="I17" s="4" t="str">
        <f t="shared" si="1"/>
        <v/>
      </c>
    </row>
    <row r="18" spans="2:9" ht="72" customHeight="1" outlineLevel="1" x14ac:dyDescent="0.35">
      <c r="B18" s="14" t="str">
        <f>IF(D18&lt;&gt;"",COUNTA(D$2:D18),"")</f>
        <v/>
      </c>
      <c r="C18" s="14">
        <f t="shared" si="0"/>
        <v>3</v>
      </c>
      <c r="D18" s="15"/>
      <c r="E18" s="16"/>
      <c r="F18" s="17" t="s">
        <v>23</v>
      </c>
      <c r="G18" s="14"/>
      <c r="H18" s="14"/>
      <c r="I18" s="4" t="str">
        <f t="shared" si="1"/>
        <v/>
      </c>
    </row>
    <row r="19" spans="2:9" ht="36" customHeight="1" outlineLevel="1" x14ac:dyDescent="0.35">
      <c r="B19" s="14">
        <f>IF(D19&lt;&gt;"",COUNTA(D$2:D19),"")</f>
        <v>4</v>
      </c>
      <c r="C19" s="14">
        <f t="shared" si="0"/>
        <v>4</v>
      </c>
      <c r="D19" s="15" t="s">
        <v>24</v>
      </c>
      <c r="E19" s="16" t="s">
        <v>10</v>
      </c>
      <c r="F19" s="17"/>
      <c r="G19" s="14" t="str">
        <f>IF(ISBLANK(F19),"B","")</f>
        <v>B</v>
      </c>
      <c r="H19" s="14" t="str">
        <f>IF(OR(I19="",I19=-1),"",IF(I19&lt;4,"Đơn giản",IF(I19&lt;8,"Trung bình","Phức tạp")))</f>
        <v>Đơn giản</v>
      </c>
      <c r="I19" s="4">
        <f t="shared" si="1"/>
        <v>3</v>
      </c>
    </row>
    <row r="20" spans="2:9" ht="36" customHeight="1" outlineLevel="1" x14ac:dyDescent="0.35">
      <c r="B20" s="14" t="str">
        <f>IF(D20&lt;&gt;"",COUNTA(D$2:D20),"")</f>
        <v/>
      </c>
      <c r="C20" s="14">
        <f t="shared" si="0"/>
        <v>4</v>
      </c>
      <c r="D20" s="15"/>
      <c r="E20" s="16"/>
      <c r="F20" s="17" t="s">
        <v>25</v>
      </c>
      <c r="G20" s="14"/>
      <c r="H20" s="14"/>
      <c r="I20" s="4" t="str">
        <f t="shared" si="1"/>
        <v/>
      </c>
    </row>
    <row r="21" spans="2:9" ht="54" customHeight="1" outlineLevel="1" x14ac:dyDescent="0.35">
      <c r="B21" s="14" t="str">
        <f>IF(D21&lt;&gt;"",COUNTA(D$2:D21),"")</f>
        <v/>
      </c>
      <c r="C21" s="14">
        <f t="shared" si="0"/>
        <v>4</v>
      </c>
      <c r="D21" s="15"/>
      <c r="E21" s="16"/>
      <c r="F21" s="17" t="s">
        <v>26</v>
      </c>
      <c r="G21" s="14"/>
      <c r="H21" s="14"/>
      <c r="I21" s="4" t="str">
        <f t="shared" si="1"/>
        <v/>
      </c>
    </row>
    <row r="22" spans="2:9" ht="72" customHeight="1" outlineLevel="1" x14ac:dyDescent="0.35">
      <c r="B22" s="14" t="str">
        <f>IF(D22&lt;&gt;"",COUNTA(D$2:D22),"")</f>
        <v/>
      </c>
      <c r="C22" s="14">
        <f t="shared" si="0"/>
        <v>4</v>
      </c>
      <c r="D22" s="15"/>
      <c r="E22" s="16"/>
      <c r="F22" s="17" t="s">
        <v>27</v>
      </c>
      <c r="G22" s="14"/>
      <c r="H22" s="14"/>
      <c r="I22" s="4" t="str">
        <f t="shared" si="1"/>
        <v/>
      </c>
    </row>
    <row r="23" spans="2:9" x14ac:dyDescent="0.35">
      <c r="B23" s="11" t="s">
        <v>28</v>
      </c>
      <c r="C23" s="8"/>
      <c r="D23" s="8"/>
      <c r="E23" s="8"/>
      <c r="F23" s="9"/>
      <c r="G23" s="12"/>
      <c r="H23" s="13"/>
      <c r="I23" s="4"/>
    </row>
    <row r="24" spans="2:9" ht="36" customHeight="1" outlineLevel="1" x14ac:dyDescent="0.35">
      <c r="B24" s="14">
        <f>IF(D24&lt;&gt;"",COUNTA(D$2:D24),"")</f>
        <v>5</v>
      </c>
      <c r="C24" s="14">
        <f t="shared" ref="C24:C30" si="2">IF(B24="",C23,B24)</f>
        <v>5</v>
      </c>
      <c r="D24" s="15" t="s">
        <v>29</v>
      </c>
      <c r="E24" s="16" t="s">
        <v>10</v>
      </c>
      <c r="F24" s="17"/>
      <c r="G24" s="14" t="str">
        <f>IF(ISBLANK(F24),"B","")</f>
        <v>B</v>
      </c>
      <c r="H24" s="14" t="str">
        <f>IF(OR(I24="",I24=-1),"",IF(I24&lt;4,"Đơn giản",IF(I24&lt;8,"Trung bình","Phức tạp")))</f>
        <v>Trung bình</v>
      </c>
      <c r="I24" s="4">
        <f t="shared" ref="I24:I30" si="3">IF(B24="","", COUNTIF($C:$C,B24)-1)</f>
        <v>6</v>
      </c>
    </row>
    <row r="25" spans="2:9" ht="36" customHeight="1" outlineLevel="1" x14ac:dyDescent="0.35">
      <c r="B25" s="14" t="str">
        <f>IF(D25&lt;&gt;"",COUNTA(D$2:D25),"")</f>
        <v/>
      </c>
      <c r="C25" s="14">
        <f t="shared" si="2"/>
        <v>5</v>
      </c>
      <c r="D25" s="15"/>
      <c r="E25" s="16"/>
      <c r="F25" s="17" t="s">
        <v>30</v>
      </c>
      <c r="G25" s="14"/>
      <c r="H25" s="14"/>
      <c r="I25" s="4" t="str">
        <f t="shared" si="3"/>
        <v/>
      </c>
    </row>
    <row r="26" spans="2:9" ht="36" customHeight="1" outlineLevel="1" x14ac:dyDescent="0.35">
      <c r="B26" s="14" t="str">
        <f>IF(D26&lt;&gt;"",COUNTA(D$2:D26),"")</f>
        <v/>
      </c>
      <c r="C26" s="14">
        <f t="shared" si="2"/>
        <v>5</v>
      </c>
      <c r="D26" s="15"/>
      <c r="E26" s="16"/>
      <c r="F26" s="17" t="s">
        <v>31</v>
      </c>
      <c r="G26" s="14"/>
      <c r="H26" s="14"/>
      <c r="I26" s="4" t="str">
        <f t="shared" si="3"/>
        <v/>
      </c>
    </row>
    <row r="27" spans="2:9" ht="36" customHeight="1" outlineLevel="1" x14ac:dyDescent="0.35">
      <c r="B27" s="14" t="str">
        <f>IF(D27&lt;&gt;"",COUNTA(D$2:D27),"")</f>
        <v/>
      </c>
      <c r="C27" s="14">
        <f t="shared" si="2"/>
        <v>5</v>
      </c>
      <c r="D27" s="15"/>
      <c r="E27" s="16"/>
      <c r="F27" s="17" t="s">
        <v>32</v>
      </c>
      <c r="G27" s="14"/>
      <c r="H27" s="14"/>
      <c r="I27" s="4" t="str">
        <f t="shared" si="3"/>
        <v/>
      </c>
    </row>
    <row r="28" spans="2:9" ht="36" customHeight="1" outlineLevel="1" x14ac:dyDescent="0.35">
      <c r="B28" s="14" t="str">
        <f>IF(D28&lt;&gt;"",COUNTA(D$2:D28),"")</f>
        <v/>
      </c>
      <c r="C28" s="14">
        <f t="shared" si="2"/>
        <v>5</v>
      </c>
      <c r="D28" s="15"/>
      <c r="E28" s="16"/>
      <c r="F28" s="17" t="s">
        <v>33</v>
      </c>
      <c r="G28" s="14"/>
      <c r="H28" s="14"/>
      <c r="I28" s="4" t="str">
        <f t="shared" si="3"/>
        <v/>
      </c>
    </row>
    <row r="29" spans="2:9" ht="36" customHeight="1" outlineLevel="1" x14ac:dyDescent="0.35">
      <c r="B29" s="14" t="str">
        <f>IF(D29&lt;&gt;"",COUNTA(D$2:D29),"")</f>
        <v/>
      </c>
      <c r="C29" s="14">
        <f t="shared" si="2"/>
        <v>5</v>
      </c>
      <c r="D29" s="15"/>
      <c r="E29" s="16"/>
      <c r="F29" s="17" t="s">
        <v>34</v>
      </c>
      <c r="G29" s="14"/>
      <c r="H29" s="14"/>
      <c r="I29" s="4" t="str">
        <f t="shared" si="3"/>
        <v/>
      </c>
    </row>
    <row r="30" spans="2:9" ht="54" customHeight="1" outlineLevel="1" x14ac:dyDescent="0.35">
      <c r="B30" s="14" t="str">
        <f>IF(D30&lt;&gt;"",COUNTA(D$2:D30),"")</f>
        <v/>
      </c>
      <c r="C30" s="14">
        <f t="shared" si="2"/>
        <v>5</v>
      </c>
      <c r="D30" s="15"/>
      <c r="E30" s="16"/>
      <c r="F30" s="17" t="s">
        <v>35</v>
      </c>
      <c r="G30" s="14"/>
      <c r="H30" s="14"/>
      <c r="I30" s="4" t="str">
        <f t="shared" si="3"/>
        <v/>
      </c>
    </row>
    <row r="31" spans="2:9" x14ac:dyDescent="0.35">
      <c r="B31" s="11" t="s">
        <v>36</v>
      </c>
      <c r="C31" s="8"/>
      <c r="D31" s="8"/>
      <c r="E31" s="8"/>
      <c r="F31" s="9"/>
      <c r="G31" s="12"/>
      <c r="H31" s="13"/>
      <c r="I31" s="4"/>
    </row>
    <row r="32" spans="2:9" s="18" customFormat="1" ht="36" customHeight="1" outlineLevel="1" x14ac:dyDescent="0.35">
      <c r="B32" s="14">
        <f>IF(D32&lt;&gt;"",COUNTA(D$2:D32),"")</f>
        <v>6</v>
      </c>
      <c r="C32" s="14">
        <f>IF(B32="",C31,B32)</f>
        <v>6</v>
      </c>
      <c r="D32" s="15" t="s">
        <v>37</v>
      </c>
      <c r="E32" s="16" t="s">
        <v>10</v>
      </c>
      <c r="F32" s="17"/>
      <c r="G32" s="14" t="str">
        <f>IF(ISBLANK(F32),"B","")</f>
        <v>B</v>
      </c>
      <c r="H32" s="14" t="str">
        <f>IF(OR(I32="",I32=-1),"",IF(I32&lt;4,"Đơn giản",IF(I32&lt;8,"Trung bình","Phức tạp")))</f>
        <v>Đơn giản</v>
      </c>
      <c r="I32" s="4">
        <f>IF(B32="","", COUNTIF($C:$C,B32)-1)</f>
        <v>3</v>
      </c>
    </row>
    <row r="33" spans="1:23" s="18" customFormat="1" outlineLevel="1" x14ac:dyDescent="0.35">
      <c r="B33" s="14" t="str">
        <f>IF(D33&lt;&gt;"",COUNTA(D$2:D33),"")</f>
        <v/>
      </c>
      <c r="C33" s="14">
        <f>IF(B33="",C32,B33)</f>
        <v>6</v>
      </c>
      <c r="D33" s="15"/>
      <c r="E33" s="16"/>
      <c r="F33" s="17" t="s">
        <v>38</v>
      </c>
      <c r="G33" s="14"/>
      <c r="H33" s="14"/>
      <c r="I33" s="4" t="str">
        <f>IF(B33="","", COUNTIF($C:$C,B33)-1)</f>
        <v/>
      </c>
    </row>
    <row r="34" spans="1:23" s="18" customFormat="1" ht="36" customHeight="1" outlineLevel="1" x14ac:dyDescent="0.35">
      <c r="B34" s="14" t="str">
        <f>IF(D34&lt;&gt;"",COUNTA(D$2:D34),"")</f>
        <v/>
      </c>
      <c r="C34" s="14">
        <f>IF(B34="",C33,B34)</f>
        <v>6</v>
      </c>
      <c r="D34" s="15"/>
      <c r="E34" s="16"/>
      <c r="F34" s="17" t="s">
        <v>39</v>
      </c>
      <c r="G34" s="14"/>
      <c r="H34" s="14"/>
      <c r="I34" s="4" t="str">
        <f>IF(B34="","", COUNTIF($C:$C,B34)-1)</f>
        <v/>
      </c>
    </row>
    <row r="35" spans="1:23" s="18" customFormat="1" outlineLevel="1" x14ac:dyDescent="0.35">
      <c r="B35" s="14" t="str">
        <f>IF(D35&lt;&gt;"",COUNTA(D$2:D35),"")</f>
        <v/>
      </c>
      <c r="C35" s="14">
        <f>IF(B35="",C34,B35)</f>
        <v>6</v>
      </c>
      <c r="D35" s="15"/>
      <c r="E35" s="16"/>
      <c r="F35" s="17" t="s">
        <v>40</v>
      </c>
      <c r="G35" s="14"/>
      <c r="H35" s="14"/>
      <c r="I35" s="4" t="str">
        <f>IF(B35="","", COUNTIF($C:$C,B35)-1)</f>
        <v/>
      </c>
    </row>
    <row r="36" spans="1:23" x14ac:dyDescent="0.35">
      <c r="B36" s="11" t="s">
        <v>41</v>
      </c>
      <c r="C36" s="8"/>
      <c r="D36" s="8"/>
      <c r="E36" s="8"/>
      <c r="F36" s="9"/>
      <c r="G36" s="12"/>
      <c r="H36" s="13"/>
      <c r="I36" s="4"/>
    </row>
    <row r="37" spans="1:23" x14ac:dyDescent="0.35">
      <c r="B37" s="11" t="s">
        <v>42</v>
      </c>
      <c r="C37" s="8"/>
      <c r="D37" s="8"/>
      <c r="E37" s="8"/>
      <c r="F37" s="9"/>
      <c r="G37" s="12"/>
      <c r="H37" s="13"/>
      <c r="I37" s="4"/>
    </row>
    <row r="38" spans="1:23" ht="126" customHeight="1" outlineLevel="1" x14ac:dyDescent="0.4">
      <c r="A38" s="1"/>
      <c r="B38" s="14">
        <f>IF(D38&lt;&gt;"",COUNTA(D$2:D38),"")</f>
        <v>7</v>
      </c>
      <c r="C38" s="14">
        <f t="shared" ref="C38:C101" si="4">IF(B38="",C37,B38)</f>
        <v>7</v>
      </c>
      <c r="D38" s="17" t="s">
        <v>43</v>
      </c>
      <c r="E38" s="19" t="s">
        <v>44</v>
      </c>
      <c r="F38" s="17"/>
      <c r="G38" s="14" t="str">
        <f>IF(ISBLANK(F38),"B","")</f>
        <v>B</v>
      </c>
      <c r="H38" s="14" t="str">
        <f>IF(OR(I38="",I38=-1),"",IF(I38&lt;4,"Đơn giản",IF(I38&lt;8,"Trung bình","Phức tạp")))</f>
        <v>Trung bình</v>
      </c>
      <c r="I38" s="4">
        <f t="shared" ref="I38:I101" si="5">IF(B38="","", COUNTIF($C:$C,B38)-1)</f>
        <v>7</v>
      </c>
      <c r="J38" s="1"/>
      <c r="K38" s="20"/>
      <c r="L38" s="20"/>
      <c r="M38" s="1"/>
      <c r="N38" s="1"/>
      <c r="O38" s="1"/>
      <c r="P38" s="1"/>
      <c r="Q38" s="1"/>
      <c r="R38" s="1"/>
      <c r="S38" s="1"/>
      <c r="T38" s="1"/>
      <c r="U38" s="1"/>
      <c r="V38" s="1"/>
      <c r="W38" s="1"/>
    </row>
    <row r="39" spans="1:23" ht="36" customHeight="1" outlineLevel="1" x14ac:dyDescent="0.35">
      <c r="A39" s="1"/>
      <c r="B39" s="14" t="str">
        <f>IF(D39&lt;&gt;"",COUNTA(D$2:D39),"")</f>
        <v/>
      </c>
      <c r="C39" s="14">
        <f t="shared" si="4"/>
        <v>7</v>
      </c>
      <c r="D39" s="17"/>
      <c r="E39" s="17"/>
      <c r="F39" s="17" t="s">
        <v>45</v>
      </c>
      <c r="G39" s="14"/>
      <c r="H39" s="14"/>
      <c r="I39" s="4" t="str">
        <f t="shared" si="5"/>
        <v/>
      </c>
      <c r="J39" s="1"/>
      <c r="K39" s="20"/>
      <c r="L39" s="20"/>
      <c r="M39" s="1"/>
      <c r="N39" s="1"/>
      <c r="O39" s="1"/>
      <c r="P39" s="1"/>
      <c r="Q39" s="1"/>
      <c r="R39" s="1"/>
      <c r="S39" s="1"/>
      <c r="T39" s="1"/>
      <c r="U39" s="1"/>
      <c r="V39" s="1"/>
      <c r="W39" s="1"/>
    </row>
    <row r="40" spans="1:23" ht="36" customHeight="1" outlineLevel="1" x14ac:dyDescent="0.35">
      <c r="A40" s="1"/>
      <c r="B40" s="14" t="str">
        <f>IF(D40&lt;&gt;"",COUNTA(D$2:D40),"")</f>
        <v/>
      </c>
      <c r="C40" s="14">
        <f t="shared" si="4"/>
        <v>7</v>
      </c>
      <c r="D40" s="17"/>
      <c r="E40" s="17"/>
      <c r="F40" s="17" t="s">
        <v>46</v>
      </c>
      <c r="G40" s="14"/>
      <c r="H40" s="14"/>
      <c r="I40" s="4" t="str">
        <f t="shared" si="5"/>
        <v/>
      </c>
      <c r="J40" s="1"/>
      <c r="K40" s="21"/>
      <c r="L40" s="21"/>
      <c r="M40" s="1"/>
      <c r="N40" s="1"/>
      <c r="O40" s="1"/>
      <c r="P40" s="1"/>
      <c r="Q40" s="1"/>
      <c r="R40" s="1"/>
      <c r="S40" s="1"/>
      <c r="T40" s="1"/>
      <c r="U40" s="1"/>
      <c r="V40" s="1"/>
      <c r="W40" s="1"/>
    </row>
    <row r="41" spans="1:23" ht="36" customHeight="1" outlineLevel="1" x14ac:dyDescent="0.35">
      <c r="A41" s="1"/>
      <c r="B41" s="14" t="str">
        <f>IF(D41&lt;&gt;"",COUNTA(D$2:D41),"")</f>
        <v/>
      </c>
      <c r="C41" s="14">
        <f t="shared" si="4"/>
        <v>7</v>
      </c>
      <c r="D41" s="22"/>
      <c r="E41" s="22"/>
      <c r="F41" s="22" t="s">
        <v>47</v>
      </c>
      <c r="G41" s="14"/>
      <c r="H41" s="14"/>
      <c r="I41" s="4" t="str">
        <f t="shared" si="5"/>
        <v/>
      </c>
    </row>
    <row r="42" spans="1:23" ht="18" customHeight="1" outlineLevel="1" x14ac:dyDescent="0.35">
      <c r="A42" s="1"/>
      <c r="B42" s="14" t="str">
        <f>IF(D42&lt;&gt;"",COUNTA(D$2:D42),"")</f>
        <v/>
      </c>
      <c r="C42" s="14">
        <f t="shared" si="4"/>
        <v>7</v>
      </c>
      <c r="D42" s="17"/>
      <c r="E42" s="17"/>
      <c r="F42" s="17" t="s">
        <v>48</v>
      </c>
      <c r="G42" s="14"/>
      <c r="H42" s="14"/>
      <c r="I42" s="4" t="str">
        <f t="shared" si="5"/>
        <v/>
      </c>
      <c r="J42" s="1"/>
      <c r="K42" s="21"/>
      <c r="L42" s="21"/>
      <c r="M42" s="1"/>
      <c r="N42" s="1"/>
      <c r="O42" s="1"/>
      <c r="P42" s="1"/>
      <c r="Q42" s="1"/>
      <c r="R42" s="1"/>
      <c r="S42" s="1"/>
      <c r="T42" s="1"/>
      <c r="U42" s="1"/>
      <c r="V42" s="1"/>
      <c r="W42" s="1"/>
    </row>
    <row r="43" spans="1:23" ht="36" customHeight="1" outlineLevel="1" x14ac:dyDescent="0.35">
      <c r="B43" s="14" t="str">
        <f>IF(D43&lt;&gt;"",COUNTA(D$2:D43),"")</f>
        <v/>
      </c>
      <c r="C43" s="14">
        <f t="shared" si="4"/>
        <v>7</v>
      </c>
      <c r="D43" s="17"/>
      <c r="E43" s="17"/>
      <c r="F43" s="17" t="s">
        <v>49</v>
      </c>
      <c r="G43" s="14"/>
      <c r="H43" s="14"/>
      <c r="I43" s="4" t="str">
        <f t="shared" si="5"/>
        <v/>
      </c>
    </row>
    <row r="44" spans="1:23" ht="36" customHeight="1" outlineLevel="1" x14ac:dyDescent="0.35">
      <c r="B44" s="14" t="str">
        <f>IF(D44&lt;&gt;"",COUNTA(D$2:D44),"")</f>
        <v/>
      </c>
      <c r="C44" s="14">
        <f t="shared" si="4"/>
        <v>7</v>
      </c>
      <c r="D44" s="17"/>
      <c r="E44" s="17"/>
      <c r="F44" s="17" t="s">
        <v>50</v>
      </c>
      <c r="G44" s="14"/>
      <c r="H44" s="14"/>
      <c r="I44" s="4" t="str">
        <f t="shared" si="5"/>
        <v/>
      </c>
    </row>
    <row r="45" spans="1:23" ht="18" customHeight="1" outlineLevel="1" x14ac:dyDescent="0.35">
      <c r="B45" s="14" t="str">
        <f>IF(D45&lt;&gt;"",COUNTA(D$2:D45),"")</f>
        <v/>
      </c>
      <c r="C45" s="14">
        <f t="shared" si="4"/>
        <v>7</v>
      </c>
      <c r="D45" s="17"/>
      <c r="E45" s="17"/>
      <c r="F45" s="17" t="s">
        <v>51</v>
      </c>
      <c r="G45" s="14"/>
      <c r="H45" s="14"/>
      <c r="I45" s="4" t="str">
        <f t="shared" si="5"/>
        <v/>
      </c>
    </row>
    <row r="46" spans="1:23" ht="126" customHeight="1" outlineLevel="1" x14ac:dyDescent="0.4">
      <c r="B46" s="14">
        <f>IF(D46&lt;&gt;"",COUNTA(D$2:D46),"")</f>
        <v>8</v>
      </c>
      <c r="C46" s="14">
        <f t="shared" si="4"/>
        <v>8</v>
      </c>
      <c r="D46" s="17" t="s">
        <v>52</v>
      </c>
      <c r="E46" s="19" t="s">
        <v>44</v>
      </c>
      <c r="F46" s="17"/>
      <c r="G46" s="14" t="str">
        <f>IF(ISBLANK(F46),"B","")</f>
        <v>B</v>
      </c>
      <c r="H46" s="14" t="str">
        <f>IF(OR(I46="",I46=-1),"",IF(I46&lt;4,"Đơn giản",IF(I46&lt;8,"Trung bình","Phức tạp")))</f>
        <v>Trung bình</v>
      </c>
      <c r="I46" s="4">
        <f t="shared" si="5"/>
        <v>5</v>
      </c>
    </row>
    <row r="47" spans="1:23" ht="36" customHeight="1" outlineLevel="1" x14ac:dyDescent="0.35">
      <c r="B47" s="14" t="str">
        <f>IF(D47&lt;&gt;"",COUNTA(D$2:D47),"")</f>
        <v/>
      </c>
      <c r="C47" s="14">
        <f t="shared" si="4"/>
        <v>8</v>
      </c>
      <c r="D47" s="17"/>
      <c r="E47" s="16"/>
      <c r="F47" s="17" t="s">
        <v>53</v>
      </c>
      <c r="G47" s="14"/>
      <c r="H47" s="14"/>
      <c r="I47" s="4" t="str">
        <f t="shared" si="5"/>
        <v/>
      </c>
    </row>
    <row r="48" spans="1:23" ht="36" customHeight="1" outlineLevel="1" x14ac:dyDescent="0.35">
      <c r="B48" s="14" t="str">
        <f>IF(D48&lt;&gt;"",COUNTA(D$2:D48),"")</f>
        <v/>
      </c>
      <c r="C48" s="14">
        <f t="shared" si="4"/>
        <v>8</v>
      </c>
      <c r="D48" s="17"/>
      <c r="E48" s="16"/>
      <c r="F48" s="17" t="s">
        <v>54</v>
      </c>
      <c r="G48" s="14"/>
      <c r="H48" s="14"/>
      <c r="I48" s="4" t="str">
        <f t="shared" si="5"/>
        <v/>
      </c>
    </row>
    <row r="49" spans="2:9" ht="18" customHeight="1" outlineLevel="1" x14ac:dyDescent="0.35">
      <c r="B49" s="14" t="str">
        <f>IF(D49&lt;&gt;"",COUNTA(D$2:D49),"")</f>
        <v/>
      </c>
      <c r="C49" s="14">
        <f t="shared" si="4"/>
        <v>8</v>
      </c>
      <c r="D49" s="17"/>
      <c r="E49" s="16"/>
      <c r="F49" s="17" t="s">
        <v>55</v>
      </c>
      <c r="G49" s="14"/>
      <c r="H49" s="14"/>
      <c r="I49" s="4" t="str">
        <f t="shared" si="5"/>
        <v/>
      </c>
    </row>
    <row r="50" spans="2:9" ht="18" customHeight="1" outlineLevel="1" x14ac:dyDescent="0.35">
      <c r="B50" s="14" t="str">
        <f>IF(D50&lt;&gt;"",COUNTA(D$2:D50),"")</f>
        <v/>
      </c>
      <c r="C50" s="14">
        <f t="shared" si="4"/>
        <v>8</v>
      </c>
      <c r="D50" s="17"/>
      <c r="E50" s="16"/>
      <c r="F50" s="17" t="s">
        <v>56</v>
      </c>
      <c r="G50" s="14"/>
      <c r="H50" s="14"/>
      <c r="I50" s="4" t="str">
        <f t="shared" si="5"/>
        <v/>
      </c>
    </row>
    <row r="51" spans="2:9" ht="18" customHeight="1" outlineLevel="1" x14ac:dyDescent="0.35">
      <c r="B51" s="14" t="str">
        <f>IF(D51&lt;&gt;"",COUNTA(D$2:D51),"")</f>
        <v/>
      </c>
      <c r="C51" s="14">
        <f t="shared" si="4"/>
        <v>8</v>
      </c>
      <c r="D51" s="17"/>
      <c r="E51" s="16"/>
      <c r="F51" s="17" t="s">
        <v>57</v>
      </c>
      <c r="G51" s="14"/>
      <c r="H51" s="14"/>
      <c r="I51" s="4" t="str">
        <f t="shared" si="5"/>
        <v/>
      </c>
    </row>
    <row r="52" spans="2:9" ht="126" customHeight="1" outlineLevel="1" x14ac:dyDescent="0.4">
      <c r="B52" s="14">
        <f>IF(D52&lt;&gt;"",COUNTA(D$2:D52),"")</f>
        <v>9</v>
      </c>
      <c r="C52" s="14">
        <f t="shared" si="4"/>
        <v>9</v>
      </c>
      <c r="D52" s="17" t="s">
        <v>58</v>
      </c>
      <c r="E52" s="19" t="s">
        <v>44</v>
      </c>
      <c r="F52" s="17"/>
      <c r="G52" s="14" t="str">
        <f>IF(ISBLANK(F52),"B","")</f>
        <v>B</v>
      </c>
      <c r="H52" s="14" t="str">
        <f>IF(OR(I52="",I52=-1),"",IF(I52&lt;4,"Đơn giản",IF(I52&lt;8,"Trung bình","Phức tạp")))</f>
        <v>Phức tạp</v>
      </c>
      <c r="I52" s="4">
        <f t="shared" si="5"/>
        <v>8</v>
      </c>
    </row>
    <row r="53" spans="2:9" ht="18" customHeight="1" outlineLevel="1" x14ac:dyDescent="0.35">
      <c r="B53" s="14" t="str">
        <f>IF(D53&lt;&gt;"",COUNTA(D$2:D53),"")</f>
        <v/>
      </c>
      <c r="C53" s="14">
        <f t="shared" si="4"/>
        <v>9</v>
      </c>
      <c r="D53" s="17"/>
      <c r="E53" s="16"/>
      <c r="F53" s="17" t="s">
        <v>59</v>
      </c>
      <c r="G53" s="14"/>
      <c r="H53" s="14"/>
      <c r="I53" s="4" t="str">
        <f t="shared" si="5"/>
        <v/>
      </c>
    </row>
    <row r="54" spans="2:9" ht="72" customHeight="1" outlineLevel="1" x14ac:dyDescent="0.35">
      <c r="B54" s="14" t="str">
        <f>IF(D54&lt;&gt;"",COUNTA(D$2:D54),"")</f>
        <v/>
      </c>
      <c r="C54" s="14">
        <f t="shared" si="4"/>
        <v>9</v>
      </c>
      <c r="D54" s="22"/>
      <c r="E54" s="16"/>
      <c r="F54" s="22" t="s">
        <v>60</v>
      </c>
      <c r="G54" s="14"/>
      <c r="H54" s="14"/>
      <c r="I54" s="4" t="str">
        <f t="shared" si="5"/>
        <v/>
      </c>
    </row>
    <row r="55" spans="2:9" ht="36" customHeight="1" outlineLevel="1" x14ac:dyDescent="0.35">
      <c r="B55" s="14" t="str">
        <f>IF(D55&lt;&gt;"",COUNTA(D$2:D55),"")</f>
        <v/>
      </c>
      <c r="C55" s="14">
        <f t="shared" si="4"/>
        <v>9</v>
      </c>
      <c r="D55" s="22"/>
      <c r="E55" s="16"/>
      <c r="F55" s="22" t="s">
        <v>61</v>
      </c>
      <c r="G55" s="14"/>
      <c r="H55" s="14"/>
      <c r="I55" s="4" t="str">
        <f t="shared" si="5"/>
        <v/>
      </c>
    </row>
    <row r="56" spans="2:9" ht="18" customHeight="1" outlineLevel="1" x14ac:dyDescent="0.35">
      <c r="B56" s="14" t="str">
        <f>IF(D56&lt;&gt;"",COUNTA(D$2:D56),"")</f>
        <v/>
      </c>
      <c r="C56" s="14">
        <f t="shared" si="4"/>
        <v>9</v>
      </c>
      <c r="D56" s="17"/>
      <c r="E56" s="16"/>
      <c r="F56" s="17" t="s">
        <v>62</v>
      </c>
      <c r="G56" s="14"/>
      <c r="H56" s="14"/>
      <c r="I56" s="4" t="str">
        <f t="shared" si="5"/>
        <v/>
      </c>
    </row>
    <row r="57" spans="2:9" ht="36" customHeight="1" outlineLevel="1" x14ac:dyDescent="0.35">
      <c r="B57" s="14" t="str">
        <f>IF(D57&lt;&gt;"",COUNTA(D$2:D57),"")</f>
        <v/>
      </c>
      <c r="C57" s="14">
        <f t="shared" si="4"/>
        <v>9</v>
      </c>
      <c r="D57" s="17"/>
      <c r="E57" s="16"/>
      <c r="F57" s="17" t="s">
        <v>63</v>
      </c>
      <c r="G57" s="14"/>
      <c r="H57" s="14"/>
      <c r="I57" s="4" t="str">
        <f t="shared" si="5"/>
        <v/>
      </c>
    </row>
    <row r="58" spans="2:9" ht="18" customHeight="1" outlineLevel="1" x14ac:dyDescent="0.35">
      <c r="B58" s="14" t="str">
        <f>IF(D58&lt;&gt;"",COUNTA(D$2:D58),"")</f>
        <v/>
      </c>
      <c r="C58" s="14">
        <f t="shared" si="4"/>
        <v>9</v>
      </c>
      <c r="D58" s="17"/>
      <c r="E58" s="16"/>
      <c r="F58" s="17" t="s">
        <v>64</v>
      </c>
      <c r="G58" s="14"/>
      <c r="H58" s="14"/>
      <c r="I58" s="4" t="str">
        <f t="shared" si="5"/>
        <v/>
      </c>
    </row>
    <row r="59" spans="2:9" ht="36" customHeight="1" outlineLevel="1" x14ac:dyDescent="0.35">
      <c r="B59" s="14" t="str">
        <f>IF(D59&lt;&gt;"",COUNTA(D$2:D59),"")</f>
        <v/>
      </c>
      <c r="C59" s="14">
        <f t="shared" si="4"/>
        <v>9</v>
      </c>
      <c r="D59" s="17"/>
      <c r="E59" s="16"/>
      <c r="F59" s="17" t="s">
        <v>65</v>
      </c>
      <c r="G59" s="14"/>
      <c r="H59" s="14"/>
      <c r="I59" s="4" t="str">
        <f t="shared" si="5"/>
        <v/>
      </c>
    </row>
    <row r="60" spans="2:9" ht="36" customHeight="1" outlineLevel="1" x14ac:dyDescent="0.35">
      <c r="B60" s="14" t="str">
        <f>IF(D60&lt;&gt;"",COUNTA(D$2:D60),"")</f>
        <v/>
      </c>
      <c r="C60" s="14">
        <f t="shared" si="4"/>
        <v>9</v>
      </c>
      <c r="D60" s="17"/>
      <c r="E60" s="16"/>
      <c r="F60" s="17" t="s">
        <v>66</v>
      </c>
      <c r="G60" s="14"/>
      <c r="H60" s="14"/>
      <c r="I60" s="4" t="str">
        <f t="shared" si="5"/>
        <v/>
      </c>
    </row>
    <row r="61" spans="2:9" ht="126" customHeight="1" outlineLevel="1" x14ac:dyDescent="0.4">
      <c r="B61" s="14">
        <f>IF(D61&lt;&gt;"",COUNTA(D$2:D61),"")</f>
        <v>10</v>
      </c>
      <c r="C61" s="14">
        <f t="shared" si="4"/>
        <v>10</v>
      </c>
      <c r="D61" s="17" t="s">
        <v>67</v>
      </c>
      <c r="E61" s="19" t="s">
        <v>44</v>
      </c>
      <c r="F61" s="17"/>
      <c r="G61" s="14" t="str">
        <f>IF(ISBLANK(F61),"B","")</f>
        <v>B</v>
      </c>
      <c r="H61" s="14" t="str">
        <f>IF(OR(I61="",I61=-1),"",IF(I61&lt;4,"Đơn giản",IF(I61&lt;8,"Trung bình","Phức tạp")))</f>
        <v>Trung bình</v>
      </c>
      <c r="I61" s="4">
        <f t="shared" si="5"/>
        <v>5</v>
      </c>
    </row>
    <row r="62" spans="2:9" ht="36" customHeight="1" outlineLevel="1" x14ac:dyDescent="0.35">
      <c r="B62" s="14" t="str">
        <f>IF(D62&lt;&gt;"",COUNTA(D$2:D62),"")</f>
        <v/>
      </c>
      <c r="C62" s="14">
        <f t="shared" si="4"/>
        <v>10</v>
      </c>
      <c r="D62" s="17"/>
      <c r="E62" s="23"/>
      <c r="F62" s="17" t="s">
        <v>68</v>
      </c>
      <c r="G62" s="14"/>
      <c r="H62" s="14"/>
      <c r="I62" s="4" t="str">
        <f t="shared" si="5"/>
        <v/>
      </c>
    </row>
    <row r="63" spans="2:9" ht="36" customHeight="1" outlineLevel="1" x14ac:dyDescent="0.35">
      <c r="B63" s="14" t="str">
        <f>IF(D63&lt;&gt;"",COUNTA(D$2:D63),"")</f>
        <v/>
      </c>
      <c r="C63" s="14">
        <f t="shared" si="4"/>
        <v>10</v>
      </c>
      <c r="D63" s="22"/>
      <c r="E63" s="16"/>
      <c r="F63" s="22" t="s">
        <v>69</v>
      </c>
      <c r="G63" s="14"/>
      <c r="H63" s="14"/>
      <c r="I63" s="4" t="str">
        <f t="shared" si="5"/>
        <v/>
      </c>
    </row>
    <row r="64" spans="2:9" ht="18" customHeight="1" outlineLevel="1" x14ac:dyDescent="0.35">
      <c r="B64" s="14" t="str">
        <f>IF(D64&lt;&gt;"",COUNTA(D$2:D64),"")</f>
        <v/>
      </c>
      <c r="C64" s="14">
        <f t="shared" si="4"/>
        <v>10</v>
      </c>
      <c r="D64" s="17"/>
      <c r="E64" s="23"/>
      <c r="F64" s="17" t="s">
        <v>55</v>
      </c>
      <c r="G64" s="14"/>
      <c r="H64" s="14"/>
      <c r="I64" s="4" t="str">
        <f t="shared" si="5"/>
        <v/>
      </c>
    </row>
    <row r="65" spans="2:9" ht="18" customHeight="1" outlineLevel="1" x14ac:dyDescent="0.35">
      <c r="B65" s="14" t="str">
        <f>IF(D65&lt;&gt;"",COUNTA(D$2:D65),"")</f>
        <v/>
      </c>
      <c r="C65" s="14">
        <f t="shared" si="4"/>
        <v>10</v>
      </c>
      <c r="D65" s="17"/>
      <c r="E65" s="23"/>
      <c r="F65" s="17" t="s">
        <v>70</v>
      </c>
      <c r="G65" s="14"/>
      <c r="H65" s="14"/>
      <c r="I65" s="4" t="str">
        <f t="shared" si="5"/>
        <v/>
      </c>
    </row>
    <row r="66" spans="2:9" ht="36" customHeight="1" outlineLevel="1" x14ac:dyDescent="0.35">
      <c r="B66" s="14" t="str">
        <f>IF(D66&lt;&gt;"",COUNTA(D$2:D66),"")</f>
        <v/>
      </c>
      <c r="C66" s="14">
        <f t="shared" si="4"/>
        <v>10</v>
      </c>
      <c r="D66" s="17"/>
      <c r="E66" s="23"/>
      <c r="F66" s="17" t="s">
        <v>71</v>
      </c>
      <c r="G66" s="14"/>
      <c r="H66" s="14"/>
      <c r="I66" s="4" t="str">
        <f t="shared" si="5"/>
        <v/>
      </c>
    </row>
    <row r="67" spans="2:9" ht="126" customHeight="1" outlineLevel="1" x14ac:dyDescent="0.4">
      <c r="B67" s="14">
        <f>IF(D67&lt;&gt;"",COUNTA(D$2:D67),"")</f>
        <v>11</v>
      </c>
      <c r="C67" s="14">
        <f t="shared" si="4"/>
        <v>11</v>
      </c>
      <c r="D67" s="17" t="s">
        <v>72</v>
      </c>
      <c r="E67" s="19" t="s">
        <v>44</v>
      </c>
      <c r="F67" s="17"/>
      <c r="G67" s="14" t="str">
        <f>IF(ISBLANK(F67),"B","")</f>
        <v>B</v>
      </c>
      <c r="H67" s="14" t="str">
        <f>IF(OR(I67="",I67=-1),"",IF(I67&lt;4,"Đơn giản",IF(I67&lt;8,"Trung bình","Phức tạp")))</f>
        <v>Đơn giản</v>
      </c>
      <c r="I67" s="4">
        <f t="shared" si="5"/>
        <v>3</v>
      </c>
    </row>
    <row r="68" spans="2:9" ht="36" customHeight="1" outlineLevel="1" x14ac:dyDescent="0.35">
      <c r="B68" s="14" t="str">
        <f>IF(D68&lt;&gt;"",COUNTA(D$2:D68),"")</f>
        <v/>
      </c>
      <c r="C68" s="14">
        <f t="shared" si="4"/>
        <v>11</v>
      </c>
      <c r="D68" s="17"/>
      <c r="E68" s="23"/>
      <c r="F68" s="17" t="s">
        <v>73</v>
      </c>
      <c r="G68" s="14"/>
      <c r="H68" s="14"/>
      <c r="I68" s="4" t="str">
        <f t="shared" si="5"/>
        <v/>
      </c>
    </row>
    <row r="69" spans="2:9" ht="36" customHeight="1" outlineLevel="1" x14ac:dyDescent="0.35">
      <c r="B69" s="14" t="str">
        <f>IF(D69&lt;&gt;"",COUNTA(D$2:D69),"")</f>
        <v/>
      </c>
      <c r="C69" s="14">
        <f t="shared" si="4"/>
        <v>11</v>
      </c>
      <c r="D69" s="17"/>
      <c r="E69" s="23"/>
      <c r="F69" s="17" t="s">
        <v>74</v>
      </c>
      <c r="G69" s="14"/>
      <c r="H69" s="14"/>
      <c r="I69" s="4" t="str">
        <f t="shared" si="5"/>
        <v/>
      </c>
    </row>
    <row r="70" spans="2:9" ht="36" customHeight="1" outlineLevel="1" x14ac:dyDescent="0.35">
      <c r="B70" s="14" t="str">
        <f>IF(D70&lt;&gt;"",COUNTA(D$2:D70),"")</f>
        <v/>
      </c>
      <c r="C70" s="14">
        <f t="shared" si="4"/>
        <v>11</v>
      </c>
      <c r="D70" s="17"/>
      <c r="E70" s="23"/>
      <c r="F70" s="17" t="s">
        <v>75</v>
      </c>
      <c r="G70" s="14"/>
      <c r="H70" s="14"/>
      <c r="I70" s="4" t="str">
        <f t="shared" si="5"/>
        <v/>
      </c>
    </row>
    <row r="71" spans="2:9" ht="126" customHeight="1" outlineLevel="1" x14ac:dyDescent="0.4">
      <c r="B71" s="14">
        <f>IF(D71&lt;&gt;"",COUNTA(D$2:D71),"")</f>
        <v>12</v>
      </c>
      <c r="C71" s="14">
        <f t="shared" si="4"/>
        <v>12</v>
      </c>
      <c r="D71" s="17" t="s">
        <v>76</v>
      </c>
      <c r="E71" s="19" t="s">
        <v>44</v>
      </c>
      <c r="F71" s="17"/>
      <c r="G71" s="14" t="str">
        <f>IF(ISBLANK(F71),"B","")</f>
        <v>B</v>
      </c>
      <c r="H71" s="14" t="str">
        <f>IF(OR(I71="",I71=-1),"",IF(I71&lt;4,"Đơn giản",IF(I71&lt;8,"Trung bình","Phức tạp")))</f>
        <v>Đơn giản</v>
      </c>
      <c r="I71" s="4">
        <f t="shared" si="5"/>
        <v>3</v>
      </c>
    </row>
    <row r="72" spans="2:9" ht="36" customHeight="1" outlineLevel="1" x14ac:dyDescent="0.35">
      <c r="B72" s="14" t="str">
        <f>IF(D72&lt;&gt;"",COUNTA(D$2:D72),"")</f>
        <v/>
      </c>
      <c r="C72" s="14">
        <f t="shared" si="4"/>
        <v>12</v>
      </c>
      <c r="D72" s="17"/>
      <c r="E72" s="23"/>
      <c r="F72" s="17" t="s">
        <v>77</v>
      </c>
      <c r="G72" s="14"/>
      <c r="H72" s="14"/>
      <c r="I72" s="4" t="str">
        <f t="shared" si="5"/>
        <v/>
      </c>
    </row>
    <row r="73" spans="2:9" ht="36" customHeight="1" outlineLevel="1" x14ac:dyDescent="0.35">
      <c r="B73" s="14" t="str">
        <f>IF(D73&lt;&gt;"",COUNTA(D$2:D73),"")</f>
        <v/>
      </c>
      <c r="C73" s="14">
        <f t="shared" si="4"/>
        <v>12</v>
      </c>
      <c r="D73" s="17"/>
      <c r="E73" s="23"/>
      <c r="F73" s="17" t="s">
        <v>78</v>
      </c>
      <c r="G73" s="14"/>
      <c r="H73" s="14"/>
      <c r="I73" s="4" t="str">
        <f t="shared" si="5"/>
        <v/>
      </c>
    </row>
    <row r="74" spans="2:9" ht="36" customHeight="1" outlineLevel="1" x14ac:dyDescent="0.35">
      <c r="B74" s="14" t="str">
        <f>IF(D74&lt;&gt;"",COUNTA(D$2:D74),"")</f>
        <v/>
      </c>
      <c r="C74" s="14">
        <f t="shared" si="4"/>
        <v>12</v>
      </c>
      <c r="D74" s="17"/>
      <c r="E74" s="23"/>
      <c r="F74" s="17" t="s">
        <v>79</v>
      </c>
      <c r="G74" s="14"/>
      <c r="H74" s="14"/>
      <c r="I74" s="4" t="str">
        <f t="shared" si="5"/>
        <v/>
      </c>
    </row>
    <row r="75" spans="2:9" ht="126" customHeight="1" outlineLevel="1" x14ac:dyDescent="0.4">
      <c r="B75" s="14">
        <f>IF(D75&lt;&gt;"",COUNTA(D$2:D75),"")</f>
        <v>13</v>
      </c>
      <c r="C75" s="14">
        <f t="shared" si="4"/>
        <v>13</v>
      </c>
      <c r="D75" s="17" t="s">
        <v>80</v>
      </c>
      <c r="E75" s="19" t="s">
        <v>44</v>
      </c>
      <c r="F75" s="17"/>
      <c r="G75" s="14" t="str">
        <f>IF(ISBLANK(F75),"B","")</f>
        <v>B</v>
      </c>
      <c r="H75" s="14" t="str">
        <f>IF(OR(I75="",I75=-1),"",IF(I75&lt;4,"Đơn giản",IF(I75&lt;8,"Trung bình","Phức tạp")))</f>
        <v>Trung bình</v>
      </c>
      <c r="I75" s="4">
        <f t="shared" si="5"/>
        <v>5</v>
      </c>
    </row>
    <row r="76" spans="2:9" ht="36" customHeight="1" outlineLevel="1" x14ac:dyDescent="0.35">
      <c r="B76" s="14" t="str">
        <f>IF(D76&lt;&gt;"",COUNTA(D$2:D76),"")</f>
        <v/>
      </c>
      <c r="C76" s="14">
        <f t="shared" si="4"/>
        <v>13</v>
      </c>
      <c r="D76" s="17"/>
      <c r="E76" s="23"/>
      <c r="F76" s="17" t="s">
        <v>81</v>
      </c>
      <c r="G76" s="14"/>
      <c r="H76" s="14"/>
      <c r="I76" s="4" t="str">
        <f t="shared" si="5"/>
        <v/>
      </c>
    </row>
    <row r="77" spans="2:9" ht="36" customHeight="1" outlineLevel="1" x14ac:dyDescent="0.35">
      <c r="B77" s="14" t="str">
        <f>IF(D77&lt;&gt;"",COUNTA(D$2:D77),"")</f>
        <v/>
      </c>
      <c r="C77" s="14">
        <f t="shared" si="4"/>
        <v>13</v>
      </c>
      <c r="D77" s="17"/>
      <c r="E77" s="23"/>
      <c r="F77" s="17" t="s">
        <v>82</v>
      </c>
      <c r="G77" s="14"/>
      <c r="H77" s="14"/>
      <c r="I77" s="4" t="str">
        <f t="shared" si="5"/>
        <v/>
      </c>
    </row>
    <row r="78" spans="2:9" ht="36" customHeight="1" outlineLevel="1" x14ac:dyDescent="0.35">
      <c r="B78" s="14" t="str">
        <f>IF(D78&lt;&gt;"",COUNTA(D$2:D78),"")</f>
        <v/>
      </c>
      <c r="C78" s="14">
        <f t="shared" si="4"/>
        <v>13</v>
      </c>
      <c r="D78" s="17"/>
      <c r="E78" s="23"/>
      <c r="F78" s="17" t="s">
        <v>83</v>
      </c>
      <c r="G78" s="14"/>
      <c r="H78" s="14"/>
      <c r="I78" s="4" t="str">
        <f t="shared" si="5"/>
        <v/>
      </c>
    </row>
    <row r="79" spans="2:9" ht="18" customHeight="1" outlineLevel="1" x14ac:dyDescent="0.35">
      <c r="B79" s="14" t="str">
        <f>IF(D79&lt;&gt;"",COUNTA(D$2:D79),"")</f>
        <v/>
      </c>
      <c r="C79" s="14">
        <f t="shared" si="4"/>
        <v>13</v>
      </c>
      <c r="D79" s="17"/>
      <c r="E79" s="23"/>
      <c r="F79" s="17" t="s">
        <v>84</v>
      </c>
      <c r="G79" s="14"/>
      <c r="H79" s="14"/>
      <c r="I79" s="4" t="str">
        <f t="shared" si="5"/>
        <v/>
      </c>
    </row>
    <row r="80" spans="2:9" ht="36" customHeight="1" outlineLevel="1" x14ac:dyDescent="0.35">
      <c r="B80" s="14" t="str">
        <f>IF(D80&lt;&gt;"",COUNTA(D$2:D80),"")</f>
        <v/>
      </c>
      <c r="C80" s="14">
        <f t="shared" si="4"/>
        <v>13</v>
      </c>
      <c r="D80" s="17"/>
      <c r="E80" s="23"/>
      <c r="F80" s="17" t="s">
        <v>85</v>
      </c>
      <c r="G80" s="14"/>
      <c r="H80" s="14"/>
      <c r="I80" s="4" t="str">
        <f t="shared" si="5"/>
        <v/>
      </c>
    </row>
    <row r="81" spans="2:9" ht="126" customHeight="1" outlineLevel="1" x14ac:dyDescent="0.4">
      <c r="B81" s="14">
        <f>IF(D81&lt;&gt;"",COUNTA(D$2:D81),"")</f>
        <v>14</v>
      </c>
      <c r="C81" s="14">
        <f t="shared" si="4"/>
        <v>14</v>
      </c>
      <c r="D81" s="17" t="s">
        <v>86</v>
      </c>
      <c r="E81" s="19" t="s">
        <v>44</v>
      </c>
      <c r="F81" s="17"/>
      <c r="G81" s="14" t="str">
        <f>IF(ISBLANK(F81),"B","")</f>
        <v>B</v>
      </c>
      <c r="H81" s="14" t="str">
        <f>IF(OR(I81="",I81=-1),"",IF(I81&lt;4,"Đơn giản",IF(I81&lt;8,"Trung bình","Phức tạp")))</f>
        <v>Trung bình</v>
      </c>
      <c r="I81" s="4">
        <f t="shared" si="5"/>
        <v>4</v>
      </c>
    </row>
    <row r="82" spans="2:9" ht="36" customHeight="1" outlineLevel="1" x14ac:dyDescent="0.35">
      <c r="B82" s="14" t="str">
        <f>IF(D82&lt;&gt;"",COUNTA(D$2:D82),"")</f>
        <v/>
      </c>
      <c r="C82" s="14">
        <f t="shared" si="4"/>
        <v>14</v>
      </c>
      <c r="D82" s="17"/>
      <c r="E82" s="23"/>
      <c r="F82" s="17" t="s">
        <v>87</v>
      </c>
      <c r="G82" s="14"/>
      <c r="H82" s="14"/>
      <c r="I82" s="4" t="str">
        <f t="shared" si="5"/>
        <v/>
      </c>
    </row>
    <row r="83" spans="2:9" ht="36" customHeight="1" outlineLevel="1" x14ac:dyDescent="0.35">
      <c r="B83" s="14" t="str">
        <f>IF(D83&lt;&gt;"",COUNTA(D$2:D83),"")</f>
        <v/>
      </c>
      <c r="C83" s="14">
        <f t="shared" si="4"/>
        <v>14</v>
      </c>
      <c r="D83" s="17"/>
      <c r="E83" s="23"/>
      <c r="F83" s="17" t="s">
        <v>88</v>
      </c>
      <c r="G83" s="14"/>
      <c r="H83" s="14"/>
      <c r="I83" s="4" t="str">
        <f t="shared" si="5"/>
        <v/>
      </c>
    </row>
    <row r="84" spans="2:9" ht="18" customHeight="1" outlineLevel="1" x14ac:dyDescent="0.35">
      <c r="B84" s="14" t="str">
        <f>IF(D84&lt;&gt;"",COUNTA(D$2:D84),"")</f>
        <v/>
      </c>
      <c r="C84" s="14">
        <f t="shared" si="4"/>
        <v>14</v>
      </c>
      <c r="D84" s="17"/>
      <c r="E84" s="23"/>
      <c r="F84" s="17" t="s">
        <v>89</v>
      </c>
      <c r="G84" s="14"/>
      <c r="H84" s="14"/>
      <c r="I84" s="4" t="str">
        <f t="shared" si="5"/>
        <v/>
      </c>
    </row>
    <row r="85" spans="2:9" ht="36" customHeight="1" outlineLevel="1" x14ac:dyDescent="0.35">
      <c r="B85" s="14" t="str">
        <f>IF(D85&lt;&gt;"",COUNTA(D$2:D85),"")</f>
        <v/>
      </c>
      <c r="C85" s="14">
        <f t="shared" si="4"/>
        <v>14</v>
      </c>
      <c r="D85" s="17"/>
      <c r="E85" s="23"/>
      <c r="F85" s="17" t="s">
        <v>90</v>
      </c>
      <c r="G85" s="14"/>
      <c r="H85" s="14"/>
      <c r="I85" s="4" t="str">
        <f t="shared" si="5"/>
        <v/>
      </c>
    </row>
    <row r="86" spans="2:9" ht="36" customHeight="1" outlineLevel="1" x14ac:dyDescent="0.35">
      <c r="B86" s="14">
        <f>IF(D86&lt;&gt;"",COUNTA(D$2:D86),"")</f>
        <v>15</v>
      </c>
      <c r="C86" s="14">
        <f t="shared" si="4"/>
        <v>15</v>
      </c>
      <c r="D86" s="17" t="s">
        <v>91</v>
      </c>
      <c r="E86" s="23" t="s">
        <v>10</v>
      </c>
      <c r="F86" s="17"/>
      <c r="G86" s="14" t="str">
        <f>IF(ISBLANK(F86),"B","")</f>
        <v>B</v>
      </c>
      <c r="H86" s="14" t="str">
        <f>IF(OR(I86="",I86=-1),"",IF(I86&lt;4,"Đơn giản",IF(I86&lt;8,"Trung bình","Phức tạp")))</f>
        <v>Trung bình</v>
      </c>
      <c r="I86" s="4">
        <f t="shared" si="5"/>
        <v>5</v>
      </c>
    </row>
    <row r="87" spans="2:9" ht="36" customHeight="1" outlineLevel="1" x14ac:dyDescent="0.35">
      <c r="B87" s="14" t="str">
        <f>IF(D87&lt;&gt;"",COUNTA(D$2:D87),"")</f>
        <v/>
      </c>
      <c r="C87" s="14">
        <f t="shared" si="4"/>
        <v>15</v>
      </c>
      <c r="D87" s="17"/>
      <c r="E87" s="16"/>
      <c r="F87" s="17" t="s">
        <v>92</v>
      </c>
      <c r="G87" s="14"/>
      <c r="H87" s="14"/>
      <c r="I87" s="4" t="str">
        <f t="shared" si="5"/>
        <v/>
      </c>
    </row>
    <row r="88" spans="2:9" ht="36" customHeight="1" outlineLevel="1" x14ac:dyDescent="0.35">
      <c r="B88" s="14" t="str">
        <f>IF(D88&lt;&gt;"",COUNTA(D$2:D88),"")</f>
        <v/>
      </c>
      <c r="C88" s="14">
        <f t="shared" si="4"/>
        <v>15</v>
      </c>
      <c r="D88" s="17"/>
      <c r="E88" s="16"/>
      <c r="F88" s="17" t="s">
        <v>93</v>
      </c>
      <c r="G88" s="14"/>
      <c r="H88" s="14"/>
      <c r="I88" s="4" t="str">
        <f t="shared" si="5"/>
        <v/>
      </c>
    </row>
    <row r="89" spans="2:9" ht="36" customHeight="1" outlineLevel="1" x14ac:dyDescent="0.35">
      <c r="B89" s="14" t="str">
        <f>IF(D89&lt;&gt;"",COUNTA(D$2:D89),"")</f>
        <v/>
      </c>
      <c r="C89" s="14">
        <f t="shared" si="4"/>
        <v>15</v>
      </c>
      <c r="D89" s="17"/>
      <c r="E89" s="16"/>
      <c r="F89" s="17" t="s">
        <v>94</v>
      </c>
      <c r="G89" s="14"/>
      <c r="H89" s="14"/>
      <c r="I89" s="4" t="str">
        <f t="shared" si="5"/>
        <v/>
      </c>
    </row>
    <row r="90" spans="2:9" ht="36" customHeight="1" outlineLevel="1" x14ac:dyDescent="0.35">
      <c r="B90" s="14" t="str">
        <f>IF(D90&lt;&gt;"",COUNTA(D$2:D90),"")</f>
        <v/>
      </c>
      <c r="C90" s="14">
        <f t="shared" si="4"/>
        <v>15</v>
      </c>
      <c r="D90" s="17"/>
      <c r="E90" s="16"/>
      <c r="F90" s="17" t="s">
        <v>95</v>
      </c>
      <c r="G90" s="14"/>
      <c r="H90" s="14"/>
      <c r="I90" s="4" t="str">
        <f t="shared" si="5"/>
        <v/>
      </c>
    </row>
    <row r="91" spans="2:9" ht="36" customHeight="1" outlineLevel="1" x14ac:dyDescent="0.35">
      <c r="B91" s="14" t="str">
        <f>IF(D91&lt;&gt;"",COUNTA(D$2:D91),"")</f>
        <v/>
      </c>
      <c r="C91" s="14">
        <f t="shared" si="4"/>
        <v>15</v>
      </c>
      <c r="D91" s="17"/>
      <c r="E91" s="16"/>
      <c r="F91" s="17" t="s">
        <v>96</v>
      </c>
      <c r="G91" s="14"/>
      <c r="H91" s="14"/>
      <c r="I91" s="4" t="str">
        <f t="shared" si="5"/>
        <v/>
      </c>
    </row>
    <row r="92" spans="2:9" ht="36" customHeight="1" outlineLevel="1" x14ac:dyDescent="0.35">
      <c r="B92" s="14">
        <f>IF(D92&lt;&gt;"",COUNTA(D$2:D92),"")</f>
        <v>16</v>
      </c>
      <c r="C92" s="14">
        <f t="shared" si="4"/>
        <v>16</v>
      </c>
      <c r="D92" s="17" t="s">
        <v>97</v>
      </c>
      <c r="E92" s="23" t="s">
        <v>10</v>
      </c>
      <c r="F92" s="17"/>
      <c r="G92" s="14" t="str">
        <f>IF(ISBLANK(F92),"B","")</f>
        <v>B</v>
      </c>
      <c r="H92" s="14" t="str">
        <f>IF(OR(I92="",I92=-1),"",IF(I92&lt;4,"Đơn giản",IF(I92&lt;8,"Trung bình","Phức tạp")))</f>
        <v>Trung bình</v>
      </c>
      <c r="I92" s="4">
        <f t="shared" si="5"/>
        <v>6</v>
      </c>
    </row>
    <row r="93" spans="2:9" ht="36" customHeight="1" outlineLevel="1" x14ac:dyDescent="0.35">
      <c r="B93" s="14" t="str">
        <f>IF(D93&lt;&gt;"",COUNTA(D$2:D93),"")</f>
        <v/>
      </c>
      <c r="C93" s="14">
        <f t="shared" si="4"/>
        <v>16</v>
      </c>
      <c r="D93" s="17"/>
      <c r="E93" s="16"/>
      <c r="F93" s="17" t="s">
        <v>98</v>
      </c>
      <c r="G93" s="14"/>
      <c r="H93" s="14"/>
      <c r="I93" s="4" t="str">
        <f t="shared" si="5"/>
        <v/>
      </c>
    </row>
    <row r="94" spans="2:9" ht="54" customHeight="1" outlineLevel="1" x14ac:dyDescent="0.35">
      <c r="B94" s="14" t="str">
        <f>IF(D94&lt;&gt;"",COUNTA(D$2:D94),"")</f>
        <v/>
      </c>
      <c r="C94" s="14">
        <f t="shared" si="4"/>
        <v>16</v>
      </c>
      <c r="D94" s="17"/>
      <c r="E94" s="16"/>
      <c r="F94" s="17" t="s">
        <v>99</v>
      </c>
      <c r="G94" s="14"/>
      <c r="H94" s="14"/>
      <c r="I94" s="4" t="str">
        <f t="shared" si="5"/>
        <v/>
      </c>
    </row>
    <row r="95" spans="2:9" ht="36" customHeight="1" outlineLevel="1" x14ac:dyDescent="0.35">
      <c r="B95" s="14" t="str">
        <f>IF(D95&lt;&gt;"",COUNTA(D$2:D95),"")</f>
        <v/>
      </c>
      <c r="C95" s="14">
        <f t="shared" si="4"/>
        <v>16</v>
      </c>
      <c r="D95" s="17"/>
      <c r="E95" s="16"/>
      <c r="F95" s="17" t="s">
        <v>100</v>
      </c>
      <c r="G95" s="14"/>
      <c r="H95" s="14"/>
      <c r="I95" s="4" t="str">
        <f t="shared" si="5"/>
        <v/>
      </c>
    </row>
    <row r="96" spans="2:9" ht="18" customHeight="1" outlineLevel="1" x14ac:dyDescent="0.35">
      <c r="B96" s="14" t="str">
        <f>IF(D96&lt;&gt;"",COUNTA(D$2:D96),"")</f>
        <v/>
      </c>
      <c r="C96" s="14">
        <f t="shared" si="4"/>
        <v>16</v>
      </c>
      <c r="D96" s="17"/>
      <c r="E96" s="16"/>
      <c r="F96" s="17" t="s">
        <v>101</v>
      </c>
      <c r="G96" s="14"/>
      <c r="H96" s="14"/>
      <c r="I96" s="4" t="str">
        <f t="shared" si="5"/>
        <v/>
      </c>
    </row>
    <row r="97" spans="2:9" ht="36" customHeight="1" outlineLevel="1" x14ac:dyDescent="0.35">
      <c r="B97" s="14" t="str">
        <f>IF(D97&lt;&gt;"",COUNTA(D$2:D97),"")</f>
        <v/>
      </c>
      <c r="C97" s="14">
        <f t="shared" si="4"/>
        <v>16</v>
      </c>
      <c r="D97" s="17"/>
      <c r="E97" s="16"/>
      <c r="F97" s="17" t="s">
        <v>102</v>
      </c>
      <c r="G97" s="14"/>
      <c r="H97" s="14"/>
      <c r="I97" s="4" t="str">
        <f t="shared" si="5"/>
        <v/>
      </c>
    </row>
    <row r="98" spans="2:9" ht="36" customHeight="1" outlineLevel="1" x14ac:dyDescent="0.35">
      <c r="B98" s="14" t="str">
        <f>IF(D98&lt;&gt;"",COUNTA(D$2:D98),"")</f>
        <v/>
      </c>
      <c r="C98" s="14">
        <f t="shared" si="4"/>
        <v>16</v>
      </c>
      <c r="D98" s="17"/>
      <c r="E98" s="16"/>
      <c r="F98" s="17" t="s">
        <v>103</v>
      </c>
      <c r="G98" s="14"/>
      <c r="H98" s="14"/>
      <c r="I98" s="4" t="str">
        <f t="shared" si="5"/>
        <v/>
      </c>
    </row>
    <row r="99" spans="2:9" ht="36" customHeight="1" outlineLevel="1" x14ac:dyDescent="0.35">
      <c r="B99" s="14">
        <f>IF(D99&lt;&gt;"",COUNTA(D$2:D99),"")</f>
        <v>17</v>
      </c>
      <c r="C99" s="14">
        <f t="shared" si="4"/>
        <v>17</v>
      </c>
      <c r="D99" s="17" t="s">
        <v>104</v>
      </c>
      <c r="E99" s="23" t="s">
        <v>10</v>
      </c>
      <c r="F99" s="17"/>
      <c r="G99" s="14" t="str">
        <f>IF(ISBLANK(F99),"B","")</f>
        <v>B</v>
      </c>
      <c r="H99" s="14" t="str">
        <f>IF(OR(I99="",I99=-1),"",IF(I99&lt;4,"Đơn giản",IF(I99&lt;8,"Trung bình","Phức tạp")))</f>
        <v>Trung bình</v>
      </c>
      <c r="I99" s="4">
        <f t="shared" si="5"/>
        <v>5</v>
      </c>
    </row>
    <row r="100" spans="2:9" ht="36" customHeight="1" outlineLevel="1" x14ac:dyDescent="0.35">
      <c r="B100" s="14" t="str">
        <f>IF(D100&lt;&gt;"",COUNTA(D$2:D100),"")</f>
        <v/>
      </c>
      <c r="C100" s="14">
        <f t="shared" si="4"/>
        <v>17</v>
      </c>
      <c r="D100" s="17"/>
      <c r="E100" s="16"/>
      <c r="F100" s="17" t="s">
        <v>105</v>
      </c>
      <c r="G100" s="14"/>
      <c r="H100" s="14"/>
      <c r="I100" s="4" t="str">
        <f t="shared" si="5"/>
        <v/>
      </c>
    </row>
    <row r="101" spans="2:9" ht="36" customHeight="1" outlineLevel="1" x14ac:dyDescent="0.35">
      <c r="B101" s="14" t="str">
        <f>IF(D101&lt;&gt;"",COUNTA(D$2:D101),"")</f>
        <v/>
      </c>
      <c r="C101" s="14">
        <f t="shared" si="4"/>
        <v>17</v>
      </c>
      <c r="D101" s="17"/>
      <c r="E101" s="16"/>
      <c r="F101" s="17" t="s">
        <v>106</v>
      </c>
      <c r="G101" s="14"/>
      <c r="H101" s="14"/>
      <c r="I101" s="4" t="str">
        <f t="shared" si="5"/>
        <v/>
      </c>
    </row>
    <row r="102" spans="2:9" ht="36" customHeight="1" outlineLevel="1" x14ac:dyDescent="0.35">
      <c r="B102" s="14" t="str">
        <f>IF(D102&lt;&gt;"",COUNTA(D$2:D102),"")</f>
        <v/>
      </c>
      <c r="C102" s="14">
        <f t="shared" ref="C102:C165" si="6">IF(B102="",C101,B102)</f>
        <v>17</v>
      </c>
      <c r="D102" s="17"/>
      <c r="E102" s="16"/>
      <c r="F102" s="17" t="s">
        <v>107</v>
      </c>
      <c r="G102" s="14"/>
      <c r="H102" s="14"/>
      <c r="I102" s="4" t="str">
        <f t="shared" ref="I102:I136" si="7">IF(B102="","", COUNTIF($C:$C,B102)-1)</f>
        <v/>
      </c>
    </row>
    <row r="103" spans="2:9" ht="36" customHeight="1" outlineLevel="1" x14ac:dyDescent="0.35">
      <c r="B103" s="14" t="str">
        <f>IF(D103&lt;&gt;"",COUNTA(D$2:D103),"")</f>
        <v/>
      </c>
      <c r="C103" s="14">
        <f t="shared" si="6"/>
        <v>17</v>
      </c>
      <c r="D103" s="17"/>
      <c r="E103" s="16"/>
      <c r="F103" s="17" t="s">
        <v>108</v>
      </c>
      <c r="G103" s="14"/>
      <c r="H103" s="14"/>
      <c r="I103" s="4" t="str">
        <f t="shared" si="7"/>
        <v/>
      </c>
    </row>
    <row r="104" spans="2:9" ht="36" customHeight="1" outlineLevel="1" x14ac:dyDescent="0.35">
      <c r="B104" s="14" t="str">
        <f>IF(D104&lt;&gt;"",COUNTA(D$2:D104),"")</f>
        <v/>
      </c>
      <c r="C104" s="14">
        <f t="shared" si="6"/>
        <v>17</v>
      </c>
      <c r="D104" s="17"/>
      <c r="E104" s="16"/>
      <c r="F104" s="17" t="s">
        <v>109</v>
      </c>
      <c r="G104" s="14"/>
      <c r="H104" s="14"/>
      <c r="I104" s="4" t="str">
        <f t="shared" si="7"/>
        <v/>
      </c>
    </row>
    <row r="105" spans="2:9" ht="36" customHeight="1" outlineLevel="1" x14ac:dyDescent="0.35">
      <c r="B105" s="14">
        <f>IF(D105&lt;&gt;"",COUNTA(D$2:D105),"")</f>
        <v>18</v>
      </c>
      <c r="C105" s="14">
        <f t="shared" si="6"/>
        <v>18</v>
      </c>
      <c r="D105" s="17" t="s">
        <v>110</v>
      </c>
      <c r="E105" s="23" t="s">
        <v>10</v>
      </c>
      <c r="F105" s="17"/>
      <c r="G105" s="14" t="str">
        <f>IF(ISBLANK(F105),"B","")</f>
        <v>B</v>
      </c>
      <c r="H105" s="14" t="str">
        <f>IF(OR(I105="",I105=-1),"",IF(I105&lt;4,"Đơn giản",IF(I105&lt;8,"Trung bình","Phức tạp")))</f>
        <v>Trung bình</v>
      </c>
      <c r="I105" s="4">
        <f t="shared" si="7"/>
        <v>5</v>
      </c>
    </row>
    <row r="106" spans="2:9" ht="36" customHeight="1" outlineLevel="1" x14ac:dyDescent="0.35">
      <c r="B106" s="14" t="str">
        <f>IF(D106&lt;&gt;"",COUNTA(D$2:D106),"")</f>
        <v/>
      </c>
      <c r="C106" s="14">
        <f t="shared" si="6"/>
        <v>18</v>
      </c>
      <c r="D106" s="17"/>
      <c r="E106" s="16"/>
      <c r="F106" s="17" t="s">
        <v>111</v>
      </c>
      <c r="G106" s="14"/>
      <c r="H106" s="14"/>
      <c r="I106" s="4" t="str">
        <f t="shared" si="7"/>
        <v/>
      </c>
    </row>
    <row r="107" spans="2:9" ht="36" customHeight="1" outlineLevel="1" x14ac:dyDescent="0.35">
      <c r="B107" s="14" t="str">
        <f>IF(D107&lt;&gt;"",COUNTA(D$2:D107),"")</f>
        <v/>
      </c>
      <c r="C107" s="14">
        <f t="shared" si="6"/>
        <v>18</v>
      </c>
      <c r="D107" s="17"/>
      <c r="E107" s="16"/>
      <c r="F107" s="17" t="s">
        <v>112</v>
      </c>
      <c r="G107" s="14"/>
      <c r="H107" s="14"/>
      <c r="I107" s="4" t="str">
        <f t="shared" si="7"/>
        <v/>
      </c>
    </row>
    <row r="108" spans="2:9" ht="36" customHeight="1" outlineLevel="1" x14ac:dyDescent="0.35">
      <c r="B108" s="14" t="str">
        <f>IF(D108&lt;&gt;"",COUNTA(D$2:D108),"")</f>
        <v/>
      </c>
      <c r="C108" s="14">
        <f t="shared" si="6"/>
        <v>18</v>
      </c>
      <c r="D108" s="17"/>
      <c r="E108" s="16"/>
      <c r="F108" s="17" t="s">
        <v>113</v>
      </c>
      <c r="G108" s="14"/>
      <c r="H108" s="14"/>
      <c r="I108" s="4" t="str">
        <f t="shared" si="7"/>
        <v/>
      </c>
    </row>
    <row r="109" spans="2:9" ht="36" customHeight="1" outlineLevel="1" x14ac:dyDescent="0.35">
      <c r="B109" s="14" t="str">
        <f>IF(D109&lt;&gt;"",COUNTA(D$2:D109),"")</f>
        <v/>
      </c>
      <c r="C109" s="14">
        <f t="shared" si="6"/>
        <v>18</v>
      </c>
      <c r="D109" s="17"/>
      <c r="E109" s="16"/>
      <c r="F109" s="17" t="s">
        <v>114</v>
      </c>
      <c r="G109" s="14"/>
      <c r="H109" s="14"/>
      <c r="I109" s="4" t="str">
        <f t="shared" si="7"/>
        <v/>
      </c>
    </row>
    <row r="110" spans="2:9" ht="36" customHeight="1" outlineLevel="1" x14ac:dyDescent="0.35">
      <c r="B110" s="14" t="str">
        <f>IF(D110&lt;&gt;"",COUNTA(D$2:D110),"")</f>
        <v/>
      </c>
      <c r="C110" s="14">
        <f t="shared" si="6"/>
        <v>18</v>
      </c>
      <c r="D110" s="17"/>
      <c r="E110" s="16"/>
      <c r="F110" s="17" t="s">
        <v>115</v>
      </c>
      <c r="G110" s="14"/>
      <c r="H110" s="14"/>
      <c r="I110" s="4" t="str">
        <f t="shared" si="7"/>
        <v/>
      </c>
    </row>
    <row r="111" spans="2:9" ht="36" customHeight="1" outlineLevel="1" x14ac:dyDescent="0.35">
      <c r="B111" s="14">
        <f>IF(D111&lt;&gt;"",COUNTA(D$2:D111),"")</f>
        <v>19</v>
      </c>
      <c r="C111" s="14">
        <f t="shared" si="6"/>
        <v>19</v>
      </c>
      <c r="D111" s="17" t="s">
        <v>116</v>
      </c>
      <c r="E111" s="23" t="s">
        <v>117</v>
      </c>
      <c r="F111" s="17"/>
      <c r="G111" s="14" t="str">
        <f>IF(ISBLANK(F111),"B","")</f>
        <v>B</v>
      </c>
      <c r="H111" s="14" t="str">
        <f>IF(OR(I111="",I111=-1),"",IF(I111&lt;4,"Đơn giản",IF(I111&lt;8,"Trung bình","Phức tạp")))</f>
        <v>Phức tạp</v>
      </c>
      <c r="I111" s="4">
        <f t="shared" si="7"/>
        <v>9</v>
      </c>
    </row>
    <row r="112" spans="2:9" ht="36" customHeight="1" outlineLevel="1" x14ac:dyDescent="0.35">
      <c r="B112" s="14" t="str">
        <f>IF(D112&lt;&gt;"",COUNTA(D$2:D112),"")</f>
        <v/>
      </c>
      <c r="C112" s="14">
        <f t="shared" si="6"/>
        <v>19</v>
      </c>
      <c r="D112" s="17"/>
      <c r="E112" s="23"/>
      <c r="F112" s="17" t="s">
        <v>118</v>
      </c>
      <c r="G112" s="14"/>
      <c r="H112" s="14"/>
      <c r="I112" s="4" t="str">
        <f t="shared" si="7"/>
        <v/>
      </c>
    </row>
    <row r="113" spans="2:9" ht="54" customHeight="1" outlineLevel="1" x14ac:dyDescent="0.35">
      <c r="B113" s="14" t="str">
        <f>IF(D113&lt;&gt;"",COUNTA(D$2:D113),"")</f>
        <v/>
      </c>
      <c r="C113" s="14">
        <f t="shared" si="6"/>
        <v>19</v>
      </c>
      <c r="D113" s="17"/>
      <c r="E113" s="23"/>
      <c r="F113" s="17" t="s">
        <v>119</v>
      </c>
      <c r="G113" s="14"/>
      <c r="H113" s="14"/>
      <c r="I113" s="4" t="str">
        <f t="shared" si="7"/>
        <v/>
      </c>
    </row>
    <row r="114" spans="2:9" ht="54" customHeight="1" outlineLevel="1" x14ac:dyDescent="0.35">
      <c r="B114" s="14" t="str">
        <f>IF(D114&lt;&gt;"",COUNTA(D$2:D114),"")</f>
        <v/>
      </c>
      <c r="C114" s="14">
        <f t="shared" si="6"/>
        <v>19</v>
      </c>
      <c r="D114" s="17"/>
      <c r="E114" s="23"/>
      <c r="F114" s="17" t="s">
        <v>120</v>
      </c>
      <c r="G114" s="14"/>
      <c r="H114" s="14"/>
      <c r="I114" s="4" t="str">
        <f t="shared" si="7"/>
        <v/>
      </c>
    </row>
    <row r="115" spans="2:9" ht="36" customHeight="1" outlineLevel="1" x14ac:dyDescent="0.35">
      <c r="B115" s="14" t="str">
        <f>IF(D115&lt;&gt;"",COUNTA(D$2:D115),"")</f>
        <v/>
      </c>
      <c r="C115" s="14">
        <f t="shared" si="6"/>
        <v>19</v>
      </c>
      <c r="D115" s="17"/>
      <c r="E115" s="23"/>
      <c r="F115" s="17" t="s">
        <v>121</v>
      </c>
      <c r="G115" s="14"/>
      <c r="H115" s="14"/>
      <c r="I115" s="4" t="str">
        <f t="shared" si="7"/>
        <v/>
      </c>
    </row>
    <row r="116" spans="2:9" ht="36" customHeight="1" outlineLevel="1" x14ac:dyDescent="0.35">
      <c r="B116" s="14" t="str">
        <f>IF(D116&lt;&gt;"",COUNTA(D$2:D116),"")</f>
        <v/>
      </c>
      <c r="C116" s="14">
        <f t="shared" si="6"/>
        <v>19</v>
      </c>
      <c r="D116" s="17"/>
      <c r="E116" s="23"/>
      <c r="F116" s="17" t="s">
        <v>122</v>
      </c>
      <c r="G116" s="14"/>
      <c r="H116" s="14"/>
      <c r="I116" s="4" t="str">
        <f t="shared" si="7"/>
        <v/>
      </c>
    </row>
    <row r="117" spans="2:9" ht="36" customHeight="1" outlineLevel="1" x14ac:dyDescent="0.35">
      <c r="B117" s="14" t="str">
        <f>IF(D117&lt;&gt;"",COUNTA(D$2:D117),"")</f>
        <v/>
      </c>
      <c r="C117" s="14">
        <f t="shared" si="6"/>
        <v>19</v>
      </c>
      <c r="D117" s="17"/>
      <c r="E117" s="23"/>
      <c r="F117" s="17" t="s">
        <v>123</v>
      </c>
      <c r="G117" s="14"/>
      <c r="H117" s="14"/>
      <c r="I117" s="4" t="str">
        <f t="shared" si="7"/>
        <v/>
      </c>
    </row>
    <row r="118" spans="2:9" ht="36" customHeight="1" outlineLevel="1" x14ac:dyDescent="0.35">
      <c r="B118" s="14" t="str">
        <f>IF(D118&lt;&gt;"",COUNTA(D$2:D118),"")</f>
        <v/>
      </c>
      <c r="C118" s="14">
        <f t="shared" si="6"/>
        <v>19</v>
      </c>
      <c r="D118" s="17"/>
      <c r="E118" s="23"/>
      <c r="F118" s="17" t="s">
        <v>124</v>
      </c>
      <c r="G118" s="14"/>
      <c r="H118" s="14"/>
      <c r="I118" s="4" t="str">
        <f t="shared" si="7"/>
        <v/>
      </c>
    </row>
    <row r="119" spans="2:9" ht="36" customHeight="1" outlineLevel="1" x14ac:dyDescent="0.35">
      <c r="B119" s="14" t="str">
        <f>IF(D119&lt;&gt;"",COUNTA(D$2:D119),"")</f>
        <v/>
      </c>
      <c r="C119" s="14">
        <f t="shared" si="6"/>
        <v>19</v>
      </c>
      <c r="D119" s="17"/>
      <c r="E119" s="23"/>
      <c r="F119" s="17" t="s">
        <v>125</v>
      </c>
      <c r="G119" s="14"/>
      <c r="H119" s="14"/>
      <c r="I119" s="4" t="str">
        <f t="shared" si="7"/>
        <v/>
      </c>
    </row>
    <row r="120" spans="2:9" ht="36" customHeight="1" outlineLevel="1" x14ac:dyDescent="0.35">
      <c r="B120" s="14" t="str">
        <f>IF(D120&lt;&gt;"",COUNTA(D$2:D120),"")</f>
        <v/>
      </c>
      <c r="C120" s="14">
        <f t="shared" si="6"/>
        <v>19</v>
      </c>
      <c r="D120" s="17"/>
      <c r="E120" s="23"/>
      <c r="F120" s="17" t="s">
        <v>126</v>
      </c>
      <c r="G120" s="14"/>
      <c r="H120" s="14"/>
      <c r="I120" s="4" t="str">
        <f t="shared" si="7"/>
        <v/>
      </c>
    </row>
    <row r="121" spans="2:9" ht="36" customHeight="1" outlineLevel="1" x14ac:dyDescent="0.35">
      <c r="B121" s="14">
        <f>IF(D121&lt;&gt;"",COUNTA(D$2:D121),"")</f>
        <v>20</v>
      </c>
      <c r="C121" s="14">
        <f t="shared" si="6"/>
        <v>20</v>
      </c>
      <c r="D121" s="17" t="s">
        <v>127</v>
      </c>
      <c r="E121" s="23" t="s">
        <v>10</v>
      </c>
      <c r="F121" s="17"/>
      <c r="G121" s="14" t="str">
        <f>IF(ISBLANK(F121),"B","")</f>
        <v>B</v>
      </c>
      <c r="H121" s="14" t="str">
        <f>IF(OR(I121="",I121=-1),"",IF(I121&lt;4,"Đơn giản",IF(I121&lt;8,"Trung bình","Phức tạp")))</f>
        <v>Trung bình</v>
      </c>
      <c r="I121" s="4">
        <f t="shared" si="7"/>
        <v>4</v>
      </c>
    </row>
    <row r="122" spans="2:9" ht="18" customHeight="1" outlineLevel="1" x14ac:dyDescent="0.35">
      <c r="B122" s="14" t="str">
        <f>IF(D122&lt;&gt;"",COUNTA(D$2:D122),"")</f>
        <v/>
      </c>
      <c r="C122" s="14">
        <f t="shared" si="6"/>
        <v>20</v>
      </c>
      <c r="D122" s="17"/>
      <c r="E122" s="23"/>
      <c r="F122" s="17" t="s">
        <v>128</v>
      </c>
      <c r="G122" s="14"/>
      <c r="H122" s="14"/>
      <c r="I122" s="4" t="str">
        <f t="shared" si="7"/>
        <v/>
      </c>
    </row>
    <row r="123" spans="2:9" ht="18" customHeight="1" outlineLevel="1" x14ac:dyDescent="0.35">
      <c r="B123" s="14" t="str">
        <f>IF(D123&lt;&gt;"",COUNTA(D$2:D123),"")</f>
        <v/>
      </c>
      <c r="C123" s="14">
        <f t="shared" si="6"/>
        <v>20</v>
      </c>
      <c r="D123" s="17"/>
      <c r="E123" s="23"/>
      <c r="F123" s="17" t="s">
        <v>62</v>
      </c>
      <c r="G123" s="14"/>
      <c r="H123" s="14"/>
      <c r="I123" s="4" t="str">
        <f t="shared" si="7"/>
        <v/>
      </c>
    </row>
    <row r="124" spans="2:9" ht="18" customHeight="1" outlineLevel="1" x14ac:dyDescent="0.35">
      <c r="B124" s="14" t="str">
        <f>IF(D124&lt;&gt;"",COUNTA(D$2:D124),"")</f>
        <v/>
      </c>
      <c r="C124" s="14">
        <f t="shared" si="6"/>
        <v>20</v>
      </c>
      <c r="D124" s="17"/>
      <c r="E124" s="23"/>
      <c r="F124" s="17" t="s">
        <v>129</v>
      </c>
      <c r="G124" s="14"/>
      <c r="H124" s="14"/>
      <c r="I124" s="4" t="str">
        <f t="shared" si="7"/>
        <v/>
      </c>
    </row>
    <row r="125" spans="2:9" ht="36" customHeight="1" outlineLevel="1" x14ac:dyDescent="0.35">
      <c r="B125" s="14" t="str">
        <f>IF(D125&lt;&gt;"",COUNTA(D$2:D125),"")</f>
        <v/>
      </c>
      <c r="C125" s="14">
        <f t="shared" si="6"/>
        <v>20</v>
      </c>
      <c r="D125" s="17"/>
      <c r="E125" s="23"/>
      <c r="F125" s="17" t="s">
        <v>130</v>
      </c>
      <c r="G125" s="14"/>
      <c r="H125" s="14"/>
      <c r="I125" s="4" t="str">
        <f t="shared" si="7"/>
        <v/>
      </c>
    </row>
    <row r="126" spans="2:9" ht="36" customHeight="1" outlineLevel="1" x14ac:dyDescent="0.35">
      <c r="B126" s="14">
        <f>IF(D126&lt;&gt;"",COUNTA(D$2:D126),"")</f>
        <v>21</v>
      </c>
      <c r="C126" s="14">
        <f t="shared" si="6"/>
        <v>21</v>
      </c>
      <c r="D126" s="22" t="s">
        <v>131</v>
      </c>
      <c r="E126" s="16" t="s">
        <v>10</v>
      </c>
      <c r="F126" s="22"/>
      <c r="G126" s="14" t="str">
        <f>IF(ISBLANK(F126),"B","")</f>
        <v>B</v>
      </c>
      <c r="H126" s="14" t="str">
        <f>IF(OR(I126="",I126=-1),"",IF(I126&lt;4,"Đơn giản",IF(I126&lt;8,"Trung bình","Phức tạp")))</f>
        <v>Trung bình</v>
      </c>
      <c r="I126" s="4">
        <f t="shared" si="7"/>
        <v>4</v>
      </c>
    </row>
    <row r="127" spans="2:9" ht="36" customHeight="1" outlineLevel="1" x14ac:dyDescent="0.35">
      <c r="B127" s="14" t="str">
        <f>IF(D127&lt;&gt;"",COUNTA(D$2:D127),"")</f>
        <v/>
      </c>
      <c r="C127" s="14">
        <f t="shared" si="6"/>
        <v>21</v>
      </c>
      <c r="D127" s="22"/>
      <c r="E127" s="16"/>
      <c r="F127" s="22" t="s">
        <v>132</v>
      </c>
      <c r="G127" s="14"/>
      <c r="H127" s="14"/>
      <c r="I127" s="4" t="str">
        <f t="shared" si="7"/>
        <v/>
      </c>
    </row>
    <row r="128" spans="2:9" ht="36" customHeight="1" outlineLevel="1" x14ac:dyDescent="0.35">
      <c r="B128" s="14" t="str">
        <f>IF(D128&lt;&gt;"",COUNTA(D$2:D128),"")</f>
        <v/>
      </c>
      <c r="C128" s="14">
        <f t="shared" si="6"/>
        <v>21</v>
      </c>
      <c r="D128" s="22"/>
      <c r="E128" s="16"/>
      <c r="F128" s="22" t="s">
        <v>133</v>
      </c>
      <c r="G128" s="14"/>
      <c r="H128" s="14"/>
      <c r="I128" s="4" t="str">
        <f t="shared" si="7"/>
        <v/>
      </c>
    </row>
    <row r="129" spans="2:9" ht="36" customHeight="1" outlineLevel="1" x14ac:dyDescent="0.35">
      <c r="B129" s="14" t="str">
        <f>IF(D129&lt;&gt;"",COUNTA(D$2:D129),"")</f>
        <v/>
      </c>
      <c r="C129" s="14">
        <f t="shared" si="6"/>
        <v>21</v>
      </c>
      <c r="D129" s="22"/>
      <c r="E129" s="16"/>
      <c r="F129" s="22" t="s">
        <v>134</v>
      </c>
      <c r="G129" s="14"/>
      <c r="H129" s="14"/>
      <c r="I129" s="4" t="str">
        <f t="shared" si="7"/>
        <v/>
      </c>
    </row>
    <row r="130" spans="2:9" ht="36" customHeight="1" outlineLevel="1" x14ac:dyDescent="0.35">
      <c r="B130" s="14" t="str">
        <f>IF(D130&lt;&gt;"",COUNTA(D$2:D130),"")</f>
        <v/>
      </c>
      <c r="C130" s="14">
        <f t="shared" si="6"/>
        <v>21</v>
      </c>
      <c r="D130" s="22"/>
      <c r="E130" s="16"/>
      <c r="F130" s="22" t="s">
        <v>135</v>
      </c>
      <c r="G130" s="14"/>
      <c r="H130" s="14"/>
      <c r="I130" s="4" t="str">
        <f t="shared" si="7"/>
        <v/>
      </c>
    </row>
    <row r="131" spans="2:9" ht="126" customHeight="1" outlineLevel="1" x14ac:dyDescent="0.35">
      <c r="B131" s="14">
        <f>IF(D131&lt;&gt;"",COUNTA(D$2:D131),"")</f>
        <v>22</v>
      </c>
      <c r="C131" s="14">
        <f t="shared" si="6"/>
        <v>22</v>
      </c>
      <c r="D131" s="22" t="s">
        <v>136</v>
      </c>
      <c r="E131" s="16" t="s">
        <v>44</v>
      </c>
      <c r="F131" s="22"/>
      <c r="G131" s="14" t="str">
        <f>IF(ISBLANK(F131),"B","")</f>
        <v>B</v>
      </c>
      <c r="H131" s="14" t="str">
        <f>IF(OR(I131="",I131=-1),"",IF(I131&lt;4,"Đơn giản",IF(I131&lt;8,"Trung bình","Phức tạp")))</f>
        <v>Phức tạp</v>
      </c>
      <c r="I131" s="4">
        <f t="shared" si="7"/>
        <v>10</v>
      </c>
    </row>
    <row r="132" spans="2:9" ht="36" customHeight="1" outlineLevel="1" x14ac:dyDescent="0.35">
      <c r="B132" s="14" t="str">
        <f>IF(D132&lt;&gt;"",COUNTA(D$2:D132),"")</f>
        <v/>
      </c>
      <c r="C132" s="14">
        <f t="shared" si="6"/>
        <v>22</v>
      </c>
      <c r="D132" s="22"/>
      <c r="E132" s="16"/>
      <c r="F132" s="22" t="s">
        <v>137</v>
      </c>
      <c r="G132" s="14"/>
      <c r="H132" s="14"/>
      <c r="I132" s="4" t="str">
        <f t="shared" si="7"/>
        <v/>
      </c>
    </row>
    <row r="133" spans="2:9" ht="36" customHeight="1" outlineLevel="1" x14ac:dyDescent="0.35">
      <c r="B133" s="14" t="str">
        <f>IF(D133&lt;&gt;"",COUNTA(D$2:D133),"")</f>
        <v/>
      </c>
      <c r="C133" s="14">
        <f t="shared" si="6"/>
        <v>22</v>
      </c>
      <c r="D133" s="22"/>
      <c r="E133" s="16"/>
      <c r="F133" s="22" t="s">
        <v>138</v>
      </c>
      <c r="G133" s="14"/>
      <c r="H133" s="14"/>
      <c r="I133" s="4" t="str">
        <f t="shared" si="7"/>
        <v/>
      </c>
    </row>
    <row r="134" spans="2:9" ht="36" customHeight="1" outlineLevel="1" x14ac:dyDescent="0.35">
      <c r="B134" s="14" t="str">
        <f>IF(D134&lt;&gt;"",COUNTA(D$2:D134),"")</f>
        <v/>
      </c>
      <c r="C134" s="14">
        <f t="shared" si="6"/>
        <v>22</v>
      </c>
      <c r="D134" s="22"/>
      <c r="E134" s="16"/>
      <c r="F134" s="22" t="s">
        <v>139</v>
      </c>
      <c r="G134" s="14"/>
      <c r="H134" s="14"/>
      <c r="I134" s="4" t="str">
        <f t="shared" si="7"/>
        <v/>
      </c>
    </row>
    <row r="135" spans="2:9" ht="36" customHeight="1" outlineLevel="1" x14ac:dyDescent="0.35">
      <c r="B135" s="14" t="str">
        <f>IF(D135&lt;&gt;"",COUNTA(D$2:D135),"")</f>
        <v/>
      </c>
      <c r="C135" s="14">
        <f t="shared" si="6"/>
        <v>22</v>
      </c>
      <c r="D135" s="22"/>
      <c r="E135" s="16"/>
      <c r="F135" s="22" t="s">
        <v>140</v>
      </c>
      <c r="G135" s="14"/>
      <c r="H135" s="14"/>
      <c r="I135" s="4" t="str">
        <f t="shared" si="7"/>
        <v/>
      </c>
    </row>
    <row r="136" spans="2:9" ht="36" customHeight="1" outlineLevel="1" x14ac:dyDescent="0.35">
      <c r="B136" s="14" t="str">
        <f>IF(D136&lt;&gt;"",COUNTA(D$2:D136),"")</f>
        <v/>
      </c>
      <c r="C136" s="14">
        <f t="shared" si="6"/>
        <v>22</v>
      </c>
      <c r="D136" s="22"/>
      <c r="E136" s="16"/>
      <c r="F136" s="22" t="s">
        <v>141</v>
      </c>
      <c r="G136" s="14"/>
      <c r="H136" s="14"/>
      <c r="I136" s="4" t="str">
        <f t="shared" si="7"/>
        <v/>
      </c>
    </row>
    <row r="137" spans="2:9" ht="54" customHeight="1" outlineLevel="1" x14ac:dyDescent="0.35">
      <c r="B137" s="14" t="str">
        <f>IF(D137&lt;&gt;"",COUNTA(D$2:D137),"")</f>
        <v/>
      </c>
      <c r="C137" s="14">
        <f t="shared" si="6"/>
        <v>22</v>
      </c>
      <c r="D137" s="22"/>
      <c r="E137" s="16"/>
      <c r="F137" s="22" t="s">
        <v>142</v>
      </c>
      <c r="G137" s="14"/>
      <c r="H137" s="14"/>
      <c r="I137" s="4"/>
    </row>
    <row r="138" spans="2:9" ht="54" customHeight="1" outlineLevel="1" x14ac:dyDescent="0.35">
      <c r="B138" s="14" t="str">
        <f>IF(D138&lt;&gt;"",COUNTA(D$2:D138),"")</f>
        <v/>
      </c>
      <c r="C138" s="14">
        <f t="shared" si="6"/>
        <v>22</v>
      </c>
      <c r="D138" s="22"/>
      <c r="E138" s="16"/>
      <c r="F138" s="22" t="s">
        <v>143</v>
      </c>
      <c r="G138" s="14"/>
      <c r="H138" s="14"/>
      <c r="I138" s="4" t="str">
        <f t="shared" ref="I138:I191" si="8">IF(B138="","", COUNTIF($C:$C,B138)-1)</f>
        <v/>
      </c>
    </row>
    <row r="139" spans="2:9" ht="54" customHeight="1" outlineLevel="1" x14ac:dyDescent="0.35">
      <c r="B139" s="14" t="str">
        <f>IF(D139&lt;&gt;"",COUNTA(D$2:D139),"")</f>
        <v/>
      </c>
      <c r="C139" s="14">
        <f t="shared" si="6"/>
        <v>22</v>
      </c>
      <c r="D139" s="22"/>
      <c r="E139" s="16"/>
      <c r="F139" s="22" t="s">
        <v>144</v>
      </c>
      <c r="G139" s="14"/>
      <c r="H139" s="14"/>
      <c r="I139" s="4" t="str">
        <f t="shared" si="8"/>
        <v/>
      </c>
    </row>
    <row r="140" spans="2:9" ht="54" customHeight="1" outlineLevel="1" x14ac:dyDescent="0.35">
      <c r="B140" s="14" t="str">
        <f>IF(D140&lt;&gt;"",COUNTA(D$2:D140),"")</f>
        <v/>
      </c>
      <c r="C140" s="14">
        <f t="shared" si="6"/>
        <v>22</v>
      </c>
      <c r="D140" s="22"/>
      <c r="E140" s="16"/>
      <c r="F140" s="22" t="s">
        <v>145</v>
      </c>
      <c r="G140" s="14"/>
      <c r="H140" s="14"/>
      <c r="I140" s="4" t="str">
        <f t="shared" si="8"/>
        <v/>
      </c>
    </row>
    <row r="141" spans="2:9" ht="54" customHeight="1" outlineLevel="1" x14ac:dyDescent="0.35">
      <c r="B141" s="14" t="str">
        <f>IF(D141&lt;&gt;"",COUNTA(D$2:D141),"")</f>
        <v/>
      </c>
      <c r="C141" s="14">
        <f t="shared" si="6"/>
        <v>22</v>
      </c>
      <c r="D141" s="22"/>
      <c r="E141" s="16"/>
      <c r="F141" s="22" t="s">
        <v>146</v>
      </c>
      <c r="G141" s="14"/>
      <c r="H141" s="14"/>
      <c r="I141" s="4" t="str">
        <f t="shared" si="8"/>
        <v/>
      </c>
    </row>
    <row r="142" spans="2:9" ht="126" customHeight="1" outlineLevel="1" x14ac:dyDescent="0.35">
      <c r="B142" s="14">
        <f>IF(D142&lt;&gt;"",COUNTA(D$2:D142),"")</f>
        <v>23</v>
      </c>
      <c r="C142" s="14">
        <f t="shared" si="6"/>
        <v>23</v>
      </c>
      <c r="D142" s="22" t="s">
        <v>147</v>
      </c>
      <c r="E142" s="16" t="s">
        <v>44</v>
      </c>
      <c r="F142" s="22"/>
      <c r="G142" s="14" t="str">
        <f>IF(ISBLANK(F142),"B","")</f>
        <v>B</v>
      </c>
      <c r="H142" s="14" t="str">
        <f>IF(OR(I142="",I142=-1),"",IF(I142&lt;4,"Đơn giản",IF(I142&lt;8,"Trung bình","Phức tạp")))</f>
        <v>Trung bình</v>
      </c>
      <c r="I142" s="4">
        <f t="shared" si="8"/>
        <v>6</v>
      </c>
    </row>
    <row r="143" spans="2:9" ht="36" customHeight="1" outlineLevel="1" x14ac:dyDescent="0.35">
      <c r="B143" s="14" t="str">
        <f>IF(D143&lt;&gt;"",COUNTA(D$2:D143),"")</f>
        <v/>
      </c>
      <c r="C143" s="14">
        <f t="shared" si="6"/>
        <v>23</v>
      </c>
      <c r="D143" s="22"/>
      <c r="E143" s="16"/>
      <c r="F143" s="22" t="s">
        <v>148</v>
      </c>
      <c r="G143" s="14"/>
      <c r="H143" s="14"/>
      <c r="I143" s="4" t="str">
        <f t="shared" si="8"/>
        <v/>
      </c>
    </row>
    <row r="144" spans="2:9" ht="54" customHeight="1" outlineLevel="1" x14ac:dyDescent="0.35">
      <c r="B144" s="14" t="str">
        <f>IF(D144&lt;&gt;"",COUNTA(D$2:D144),"")</f>
        <v/>
      </c>
      <c r="C144" s="14">
        <f t="shared" si="6"/>
        <v>23</v>
      </c>
      <c r="D144" s="22"/>
      <c r="E144" s="16"/>
      <c r="F144" s="22" t="s">
        <v>149</v>
      </c>
      <c r="G144" s="14"/>
      <c r="H144" s="14"/>
      <c r="I144" s="4" t="str">
        <f t="shared" si="8"/>
        <v/>
      </c>
    </row>
    <row r="145" spans="2:9" ht="54" customHeight="1" outlineLevel="1" x14ac:dyDescent="0.35">
      <c r="B145" s="14" t="str">
        <f>IF(D145&lt;&gt;"",COUNTA(D$2:D145),"")</f>
        <v/>
      </c>
      <c r="C145" s="14">
        <f t="shared" si="6"/>
        <v>23</v>
      </c>
      <c r="D145" s="22"/>
      <c r="E145" s="16"/>
      <c r="F145" s="22" t="s">
        <v>150</v>
      </c>
      <c r="G145" s="14"/>
      <c r="H145" s="14"/>
      <c r="I145" s="4" t="str">
        <f t="shared" si="8"/>
        <v/>
      </c>
    </row>
    <row r="146" spans="2:9" ht="72" customHeight="1" outlineLevel="1" x14ac:dyDescent="0.35">
      <c r="B146" s="14" t="str">
        <f>IF(D146&lt;&gt;"",COUNTA(D$2:D146),"")</f>
        <v/>
      </c>
      <c r="C146" s="14">
        <f t="shared" si="6"/>
        <v>23</v>
      </c>
      <c r="D146" s="22"/>
      <c r="E146" s="16"/>
      <c r="F146" s="22" t="s">
        <v>151</v>
      </c>
      <c r="G146" s="14"/>
      <c r="H146" s="14"/>
      <c r="I146" s="4" t="str">
        <f t="shared" si="8"/>
        <v/>
      </c>
    </row>
    <row r="147" spans="2:9" ht="36" customHeight="1" outlineLevel="1" x14ac:dyDescent="0.35">
      <c r="B147" s="14" t="str">
        <f>IF(D147&lt;&gt;"",COUNTA(D$2:D147),"")</f>
        <v/>
      </c>
      <c r="C147" s="14">
        <f t="shared" si="6"/>
        <v>23</v>
      </c>
      <c r="D147" s="22"/>
      <c r="E147" s="16"/>
      <c r="F147" s="22" t="s">
        <v>135</v>
      </c>
      <c r="G147" s="14"/>
      <c r="H147" s="14"/>
      <c r="I147" s="4" t="str">
        <f t="shared" si="8"/>
        <v/>
      </c>
    </row>
    <row r="148" spans="2:9" ht="36" customHeight="1" outlineLevel="1" x14ac:dyDescent="0.35">
      <c r="B148" s="14" t="str">
        <f>IF(D148&lt;&gt;"",COUNTA(D$2:D148),"")</f>
        <v/>
      </c>
      <c r="C148" s="14">
        <f t="shared" si="6"/>
        <v>23</v>
      </c>
      <c r="D148" s="22"/>
      <c r="E148" s="16"/>
      <c r="F148" s="22" t="s">
        <v>152</v>
      </c>
      <c r="G148" s="14"/>
      <c r="H148" s="14"/>
      <c r="I148" s="4" t="str">
        <f t="shared" si="8"/>
        <v/>
      </c>
    </row>
    <row r="149" spans="2:9" ht="126" customHeight="1" outlineLevel="1" x14ac:dyDescent="0.35">
      <c r="B149" s="14">
        <f>IF(D149&lt;&gt;"",COUNTA(D$2:D149),"")</f>
        <v>24</v>
      </c>
      <c r="C149" s="14">
        <f t="shared" si="6"/>
        <v>24</v>
      </c>
      <c r="D149" s="22" t="s">
        <v>153</v>
      </c>
      <c r="E149" s="16" t="s">
        <v>44</v>
      </c>
      <c r="F149" s="22"/>
      <c r="G149" s="14" t="str">
        <f>IF(ISBLANK(F149),"B","")</f>
        <v>B</v>
      </c>
      <c r="H149" s="14" t="str">
        <f>IF(OR(I149="",I149=-1),"",IF(I149&lt;4,"Đơn giản",IF(I149&lt;8,"Trung bình","Phức tạp")))</f>
        <v>Phức tạp</v>
      </c>
      <c r="I149" s="4">
        <f t="shared" si="8"/>
        <v>10</v>
      </c>
    </row>
    <row r="150" spans="2:9" ht="36" customHeight="1" outlineLevel="1" x14ac:dyDescent="0.35">
      <c r="B150" s="14" t="str">
        <f>IF(D150&lt;&gt;"",COUNTA(D$2:D150),"")</f>
        <v/>
      </c>
      <c r="C150" s="14">
        <f t="shared" si="6"/>
        <v>24</v>
      </c>
      <c r="D150" s="22"/>
      <c r="E150" s="16"/>
      <c r="F150" s="22" t="s">
        <v>137</v>
      </c>
      <c r="G150" s="14"/>
      <c r="H150" s="14"/>
      <c r="I150" s="4" t="str">
        <f t="shared" si="8"/>
        <v/>
      </c>
    </row>
    <row r="151" spans="2:9" ht="36" customHeight="1" outlineLevel="1" x14ac:dyDescent="0.35">
      <c r="B151" s="14" t="str">
        <f>IF(D151&lt;&gt;"",COUNTA(D$2:D151),"")</f>
        <v/>
      </c>
      <c r="C151" s="14">
        <f t="shared" si="6"/>
        <v>24</v>
      </c>
      <c r="D151" s="22"/>
      <c r="E151" s="16"/>
      <c r="F151" s="22" t="s">
        <v>154</v>
      </c>
      <c r="G151" s="14"/>
      <c r="H151" s="14"/>
      <c r="I151" s="4" t="str">
        <f t="shared" si="8"/>
        <v/>
      </c>
    </row>
    <row r="152" spans="2:9" ht="36" customHeight="1" outlineLevel="1" x14ac:dyDescent="0.35">
      <c r="B152" s="14" t="str">
        <f>IF(D152&lt;&gt;"",COUNTA(D$2:D152),"")</f>
        <v/>
      </c>
      <c r="C152" s="14">
        <f t="shared" si="6"/>
        <v>24</v>
      </c>
      <c r="D152" s="22"/>
      <c r="E152" s="16"/>
      <c r="F152" s="22" t="s">
        <v>155</v>
      </c>
      <c r="G152" s="14"/>
      <c r="H152" s="14"/>
      <c r="I152" s="4" t="str">
        <f t="shared" si="8"/>
        <v/>
      </c>
    </row>
    <row r="153" spans="2:9" ht="36" customHeight="1" outlineLevel="1" x14ac:dyDescent="0.35">
      <c r="B153" s="14" t="str">
        <f>IF(D153&lt;&gt;"",COUNTA(D$2:D153),"")</f>
        <v/>
      </c>
      <c r="C153" s="14">
        <f t="shared" si="6"/>
        <v>24</v>
      </c>
      <c r="D153" s="22"/>
      <c r="E153" s="16"/>
      <c r="F153" s="22" t="s">
        <v>156</v>
      </c>
      <c r="G153" s="14"/>
      <c r="H153" s="14"/>
      <c r="I153" s="4" t="str">
        <f t="shared" si="8"/>
        <v/>
      </c>
    </row>
    <row r="154" spans="2:9" ht="36" customHeight="1" outlineLevel="1" x14ac:dyDescent="0.35">
      <c r="B154" s="14" t="str">
        <f>IF(D154&lt;&gt;"",COUNTA(D$2:D154),"")</f>
        <v/>
      </c>
      <c r="C154" s="14">
        <f t="shared" si="6"/>
        <v>24</v>
      </c>
      <c r="D154" s="22"/>
      <c r="E154" s="16"/>
      <c r="F154" s="22" t="s">
        <v>157</v>
      </c>
      <c r="G154" s="14"/>
      <c r="H154" s="14"/>
      <c r="I154" s="4" t="str">
        <f t="shared" si="8"/>
        <v/>
      </c>
    </row>
    <row r="155" spans="2:9" ht="54" customHeight="1" outlineLevel="1" x14ac:dyDescent="0.35">
      <c r="B155" s="14" t="str">
        <f>IF(D155&lt;&gt;"",COUNTA(D$2:D155),"")</f>
        <v/>
      </c>
      <c r="C155" s="14">
        <f t="shared" si="6"/>
        <v>24</v>
      </c>
      <c r="D155" s="22"/>
      <c r="E155" s="16"/>
      <c r="F155" s="22" t="s">
        <v>158</v>
      </c>
      <c r="G155" s="14"/>
      <c r="H155" s="14"/>
      <c r="I155" s="4" t="str">
        <f t="shared" si="8"/>
        <v/>
      </c>
    </row>
    <row r="156" spans="2:9" ht="54" customHeight="1" outlineLevel="1" x14ac:dyDescent="0.35">
      <c r="B156" s="14" t="str">
        <f>IF(D156&lt;&gt;"",COUNTA(D$2:D156),"")</f>
        <v/>
      </c>
      <c r="C156" s="14">
        <f t="shared" si="6"/>
        <v>24</v>
      </c>
      <c r="D156" s="22"/>
      <c r="E156" s="16"/>
      <c r="F156" s="22" t="s">
        <v>159</v>
      </c>
      <c r="G156" s="14"/>
      <c r="H156" s="14"/>
      <c r="I156" s="4" t="str">
        <f t="shared" si="8"/>
        <v/>
      </c>
    </row>
    <row r="157" spans="2:9" ht="54" customHeight="1" outlineLevel="1" x14ac:dyDescent="0.35">
      <c r="B157" s="14" t="str">
        <f>IF(D157&lt;&gt;"",COUNTA(D$2:D157),"")</f>
        <v/>
      </c>
      <c r="C157" s="14">
        <f t="shared" si="6"/>
        <v>24</v>
      </c>
      <c r="D157" s="22"/>
      <c r="E157" s="16"/>
      <c r="F157" s="22" t="s">
        <v>160</v>
      </c>
      <c r="G157" s="14"/>
      <c r="H157" s="14"/>
      <c r="I157" s="4" t="str">
        <f t="shared" si="8"/>
        <v/>
      </c>
    </row>
    <row r="158" spans="2:9" ht="54" customHeight="1" outlineLevel="1" x14ac:dyDescent="0.35">
      <c r="B158" s="14" t="str">
        <f>IF(D158&lt;&gt;"",COUNTA(D$2:D158),"")</f>
        <v/>
      </c>
      <c r="C158" s="14">
        <f t="shared" si="6"/>
        <v>24</v>
      </c>
      <c r="D158" s="22"/>
      <c r="E158" s="16"/>
      <c r="F158" s="22" t="s">
        <v>161</v>
      </c>
      <c r="G158" s="14"/>
      <c r="H158" s="14"/>
      <c r="I158" s="4" t="str">
        <f t="shared" si="8"/>
        <v/>
      </c>
    </row>
    <row r="159" spans="2:9" ht="36" customHeight="1" outlineLevel="1" x14ac:dyDescent="0.35">
      <c r="B159" s="14" t="str">
        <f>IF(D159&lt;&gt;"",COUNTA(D$2:D159),"")</f>
        <v/>
      </c>
      <c r="C159" s="14">
        <f t="shared" si="6"/>
        <v>24</v>
      </c>
      <c r="D159" s="22"/>
      <c r="E159" s="16"/>
      <c r="F159" s="22" t="s">
        <v>162</v>
      </c>
      <c r="G159" s="14"/>
      <c r="H159" s="14"/>
      <c r="I159" s="4" t="str">
        <f t="shared" si="8"/>
        <v/>
      </c>
    </row>
    <row r="160" spans="2:9" ht="126" customHeight="1" outlineLevel="1" x14ac:dyDescent="0.35">
      <c r="B160" s="14">
        <f>IF(D160&lt;&gt;"",COUNTA(D$2:D160),"")</f>
        <v>25</v>
      </c>
      <c r="C160" s="14">
        <f t="shared" si="6"/>
        <v>25</v>
      </c>
      <c r="D160" s="22" t="s">
        <v>163</v>
      </c>
      <c r="E160" s="16" t="s">
        <v>44</v>
      </c>
      <c r="F160" s="22"/>
      <c r="G160" s="14" t="str">
        <f>IF(ISBLANK(F160),"B","")</f>
        <v>B</v>
      </c>
      <c r="H160" s="14" t="str">
        <f>IF(OR(I160="",I160=-1),"",IF(I160&lt;4,"Đơn giản",IF(I160&lt;8,"Trung bình","Phức tạp")))</f>
        <v>Trung bình</v>
      </c>
      <c r="I160" s="4">
        <f t="shared" si="8"/>
        <v>6</v>
      </c>
    </row>
    <row r="161" spans="2:9" ht="36" customHeight="1" outlineLevel="1" x14ac:dyDescent="0.35">
      <c r="B161" s="14" t="str">
        <f>IF(D161&lt;&gt;"",COUNTA(D$2:D161),"")</f>
        <v/>
      </c>
      <c r="C161" s="14">
        <f t="shared" si="6"/>
        <v>25</v>
      </c>
      <c r="D161" s="22"/>
      <c r="E161" s="16"/>
      <c r="F161" s="22" t="s">
        <v>164</v>
      </c>
      <c r="G161" s="14"/>
      <c r="H161" s="14"/>
      <c r="I161" s="4" t="str">
        <f t="shared" si="8"/>
        <v/>
      </c>
    </row>
    <row r="162" spans="2:9" ht="54" customHeight="1" outlineLevel="1" x14ac:dyDescent="0.35">
      <c r="B162" s="14" t="str">
        <f>IF(D162&lt;&gt;"",COUNTA(D$2:D162),"")</f>
        <v/>
      </c>
      <c r="C162" s="14">
        <f t="shared" si="6"/>
        <v>25</v>
      </c>
      <c r="D162" s="22"/>
      <c r="E162" s="16"/>
      <c r="F162" s="22" t="s">
        <v>165</v>
      </c>
      <c r="G162" s="14"/>
      <c r="H162" s="14"/>
      <c r="I162" s="4" t="str">
        <f t="shared" si="8"/>
        <v/>
      </c>
    </row>
    <row r="163" spans="2:9" ht="54" customHeight="1" outlineLevel="1" x14ac:dyDescent="0.35">
      <c r="B163" s="14" t="str">
        <f>IF(D163&lt;&gt;"",COUNTA(D$2:D163),"")</f>
        <v/>
      </c>
      <c r="C163" s="14">
        <f t="shared" si="6"/>
        <v>25</v>
      </c>
      <c r="D163" s="22"/>
      <c r="E163" s="16"/>
      <c r="F163" s="22" t="s">
        <v>166</v>
      </c>
      <c r="G163" s="14"/>
      <c r="H163" s="14"/>
      <c r="I163" s="4" t="str">
        <f t="shared" si="8"/>
        <v/>
      </c>
    </row>
    <row r="164" spans="2:9" ht="72" customHeight="1" outlineLevel="1" x14ac:dyDescent="0.35">
      <c r="B164" s="14" t="str">
        <f>IF(D164&lt;&gt;"",COUNTA(D$2:D164),"")</f>
        <v/>
      </c>
      <c r="C164" s="14">
        <f t="shared" si="6"/>
        <v>25</v>
      </c>
      <c r="D164" s="22"/>
      <c r="E164" s="16"/>
      <c r="F164" s="22" t="s">
        <v>167</v>
      </c>
      <c r="G164" s="14"/>
      <c r="H164" s="14"/>
      <c r="I164" s="4" t="str">
        <f t="shared" si="8"/>
        <v/>
      </c>
    </row>
    <row r="165" spans="2:9" ht="36" customHeight="1" outlineLevel="1" x14ac:dyDescent="0.35">
      <c r="B165" s="14" t="str">
        <f>IF(D165&lt;&gt;"",COUNTA(D$2:D165),"")</f>
        <v/>
      </c>
      <c r="C165" s="14">
        <f t="shared" si="6"/>
        <v>25</v>
      </c>
      <c r="D165" s="22"/>
      <c r="E165" s="16"/>
      <c r="F165" s="22" t="s">
        <v>135</v>
      </c>
      <c r="G165" s="14"/>
      <c r="H165" s="14"/>
      <c r="I165" s="4" t="str">
        <f t="shared" si="8"/>
        <v/>
      </c>
    </row>
    <row r="166" spans="2:9" ht="36" customHeight="1" outlineLevel="1" x14ac:dyDescent="0.35">
      <c r="B166" s="14" t="str">
        <f>IF(D166&lt;&gt;"",COUNTA(D$2:D166),"")</f>
        <v/>
      </c>
      <c r="C166" s="14">
        <f t="shared" ref="C166:C191" si="9">IF(B166="",C165,B166)</f>
        <v>25</v>
      </c>
      <c r="D166" s="22"/>
      <c r="E166" s="16"/>
      <c r="F166" s="22" t="s">
        <v>152</v>
      </c>
      <c r="G166" s="14"/>
      <c r="H166" s="14"/>
      <c r="I166" s="4" t="str">
        <f t="shared" si="8"/>
        <v/>
      </c>
    </row>
    <row r="167" spans="2:9" ht="126" customHeight="1" outlineLevel="1" x14ac:dyDescent="0.35">
      <c r="B167" s="14">
        <f>IF(D167&lt;&gt;"",COUNTA(D$2:D167),"")</f>
        <v>26</v>
      </c>
      <c r="C167" s="14">
        <f t="shared" si="9"/>
        <v>26</v>
      </c>
      <c r="D167" s="24" t="s">
        <v>168</v>
      </c>
      <c r="E167" s="25" t="s">
        <v>44</v>
      </c>
      <c r="F167" s="24"/>
      <c r="G167" s="26" t="str">
        <f>IF(ISBLANK(F167),"B","")</f>
        <v>B</v>
      </c>
      <c r="H167" s="26" t="str">
        <f>IF(OR(I167="",I167=-1),"",IF(I167&lt;4,"Đơn giản",IF(I167&lt;8,"Trung bình","Phức tạp")))</f>
        <v>Trung bình</v>
      </c>
      <c r="I167" s="4">
        <f t="shared" si="8"/>
        <v>6</v>
      </c>
    </row>
    <row r="168" spans="2:9" ht="36" customHeight="1" outlineLevel="1" x14ac:dyDescent="0.35">
      <c r="B168" s="14" t="str">
        <f>IF(D168&lt;&gt;"",COUNTA(D$2:D168),"")</f>
        <v/>
      </c>
      <c r="C168" s="14">
        <f t="shared" si="9"/>
        <v>26</v>
      </c>
      <c r="D168" s="24"/>
      <c r="E168" s="25"/>
      <c r="F168" s="24" t="s">
        <v>169</v>
      </c>
      <c r="G168" s="26"/>
      <c r="H168" s="26"/>
      <c r="I168" s="4" t="str">
        <f t="shared" si="8"/>
        <v/>
      </c>
    </row>
    <row r="169" spans="2:9" ht="36" customHeight="1" outlineLevel="1" x14ac:dyDescent="0.35">
      <c r="B169" s="14" t="str">
        <f>IF(D169&lt;&gt;"",COUNTA(D$2:D169),"")</f>
        <v/>
      </c>
      <c r="C169" s="14">
        <f t="shared" si="9"/>
        <v>26</v>
      </c>
      <c r="D169" s="24"/>
      <c r="E169" s="25"/>
      <c r="F169" s="24" t="s">
        <v>170</v>
      </c>
      <c r="G169" s="26"/>
      <c r="H169" s="26"/>
      <c r="I169" s="4" t="str">
        <f t="shared" si="8"/>
        <v/>
      </c>
    </row>
    <row r="170" spans="2:9" ht="36" customHeight="1" outlineLevel="1" x14ac:dyDescent="0.35">
      <c r="B170" s="14" t="str">
        <f>IF(D170&lt;&gt;"",COUNTA(D$2:D170),"")</f>
        <v/>
      </c>
      <c r="C170" s="14">
        <f t="shared" si="9"/>
        <v>26</v>
      </c>
      <c r="D170" s="24"/>
      <c r="E170" s="25"/>
      <c r="F170" s="24" t="s">
        <v>171</v>
      </c>
      <c r="G170" s="26"/>
      <c r="H170" s="26"/>
      <c r="I170" s="4" t="str">
        <f t="shared" si="8"/>
        <v/>
      </c>
    </row>
    <row r="171" spans="2:9" ht="36" customHeight="1" outlineLevel="1" x14ac:dyDescent="0.35">
      <c r="B171" s="14" t="str">
        <f>IF(D171&lt;&gt;"",COUNTA(D$2:D171),"")</f>
        <v/>
      </c>
      <c r="C171" s="14">
        <f t="shared" si="9"/>
        <v>26</v>
      </c>
      <c r="D171" s="24"/>
      <c r="E171" s="25"/>
      <c r="F171" s="24" t="s">
        <v>172</v>
      </c>
      <c r="G171" s="26"/>
      <c r="H171" s="26"/>
      <c r="I171" s="4" t="str">
        <f t="shared" si="8"/>
        <v/>
      </c>
    </row>
    <row r="172" spans="2:9" ht="36" customHeight="1" outlineLevel="1" x14ac:dyDescent="0.35">
      <c r="B172" s="14" t="str">
        <f>IF(D172&lt;&gt;"",COUNTA(D$2:D172),"")</f>
        <v/>
      </c>
      <c r="C172" s="14">
        <f t="shared" si="9"/>
        <v>26</v>
      </c>
      <c r="D172" s="24"/>
      <c r="E172" s="25"/>
      <c r="F172" s="24" t="s">
        <v>173</v>
      </c>
      <c r="G172" s="26"/>
      <c r="H172" s="26"/>
      <c r="I172" s="4" t="str">
        <f t="shared" si="8"/>
        <v/>
      </c>
    </row>
    <row r="173" spans="2:9" ht="36" customHeight="1" outlineLevel="1" x14ac:dyDescent="0.35">
      <c r="B173" s="14" t="str">
        <f>IF(D173&lt;&gt;"",COUNTA(D$2:D173),"")</f>
        <v/>
      </c>
      <c r="C173" s="14">
        <f t="shared" si="9"/>
        <v>26</v>
      </c>
      <c r="D173" s="24"/>
      <c r="E173" s="25"/>
      <c r="F173" s="24" t="s">
        <v>174</v>
      </c>
      <c r="G173" s="26"/>
      <c r="H173" s="26"/>
      <c r="I173" s="4" t="str">
        <f t="shared" si="8"/>
        <v/>
      </c>
    </row>
    <row r="174" spans="2:9" ht="108" customHeight="1" outlineLevel="1" x14ac:dyDescent="0.4">
      <c r="B174" s="14">
        <f>IF(D174&lt;&gt;"",COUNTA(D$2:D174),"")</f>
        <v>27</v>
      </c>
      <c r="C174" s="14">
        <f t="shared" si="9"/>
        <v>27</v>
      </c>
      <c r="D174" s="27" t="s">
        <v>175</v>
      </c>
      <c r="E174" s="19" t="s">
        <v>176</v>
      </c>
      <c r="G174" s="14" t="str">
        <f>IF(ISBLANK(F174),"B","")</f>
        <v>B</v>
      </c>
      <c r="H174" s="14" t="str">
        <f>IF(OR(I174="",I174=-1),"",IF(I174&lt;4,"Đơn giản",IF(I174&lt;8,"Trung bình","Phức tạp")))</f>
        <v>Trung bình</v>
      </c>
      <c r="I174" s="4">
        <f t="shared" si="8"/>
        <v>5</v>
      </c>
    </row>
    <row r="175" spans="2:9" ht="18" customHeight="1" outlineLevel="1" x14ac:dyDescent="0.35">
      <c r="B175" s="14" t="str">
        <f>IF(D175&lt;&gt;"",COUNTA(D$2:D175),"")</f>
        <v/>
      </c>
      <c r="C175" s="14">
        <f t="shared" si="9"/>
        <v>27</v>
      </c>
      <c r="D175" s="27"/>
      <c r="E175" s="29"/>
      <c r="G175" s="14"/>
      <c r="H175" s="14"/>
      <c r="I175" s="4" t="str">
        <f t="shared" si="8"/>
        <v/>
      </c>
    </row>
    <row r="176" spans="2:9" ht="36" customHeight="1" outlineLevel="1" x14ac:dyDescent="0.35">
      <c r="B176" s="14" t="str">
        <f>IF(D176&lt;&gt;"",COUNTA(D$2:D176),"")</f>
        <v/>
      </c>
      <c r="C176" s="14">
        <f t="shared" si="9"/>
        <v>27</v>
      </c>
      <c r="D176" s="27"/>
      <c r="E176" s="29"/>
      <c r="F176" s="17" t="s">
        <v>177</v>
      </c>
      <c r="G176" s="14"/>
      <c r="H176" s="14"/>
      <c r="I176" s="4" t="str">
        <f t="shared" si="8"/>
        <v/>
      </c>
    </row>
    <row r="177" spans="2:9" ht="36" customHeight="1" outlineLevel="1" x14ac:dyDescent="0.35">
      <c r="B177" s="14" t="str">
        <f>IF(D177&lt;&gt;"",COUNTA(D$2:D177),"")</f>
        <v/>
      </c>
      <c r="C177" s="14">
        <f t="shared" si="9"/>
        <v>27</v>
      </c>
      <c r="D177" s="27"/>
      <c r="E177" s="29"/>
      <c r="F177" s="17" t="s">
        <v>178</v>
      </c>
      <c r="G177" s="14"/>
      <c r="H177" s="14"/>
      <c r="I177" s="4" t="str">
        <f t="shared" si="8"/>
        <v/>
      </c>
    </row>
    <row r="178" spans="2:9" ht="36" customHeight="1" outlineLevel="1" x14ac:dyDescent="0.35">
      <c r="B178" s="14" t="str">
        <f>IF(D178&lt;&gt;"",COUNTA(D$2:D178),"")</f>
        <v/>
      </c>
      <c r="C178" s="14">
        <f t="shared" si="9"/>
        <v>27</v>
      </c>
      <c r="D178" s="27"/>
      <c r="E178" s="29"/>
      <c r="F178" s="17" t="s">
        <v>179</v>
      </c>
      <c r="G178" s="14"/>
      <c r="H178" s="14"/>
      <c r="I178" s="4" t="str">
        <f t="shared" si="8"/>
        <v/>
      </c>
    </row>
    <row r="179" spans="2:9" ht="36" customHeight="1" outlineLevel="1" x14ac:dyDescent="0.35">
      <c r="B179" s="14" t="str">
        <f>IF(D179&lt;&gt;"",COUNTA(D$2:D179),"")</f>
        <v/>
      </c>
      <c r="C179" s="14">
        <f t="shared" si="9"/>
        <v>27</v>
      </c>
      <c r="D179" s="27"/>
      <c r="E179" s="29"/>
      <c r="F179" s="17" t="s">
        <v>180</v>
      </c>
      <c r="G179" s="14"/>
      <c r="H179" s="14"/>
      <c r="I179" s="4" t="str">
        <f t="shared" si="8"/>
        <v/>
      </c>
    </row>
    <row r="180" spans="2:9" ht="108" customHeight="1" outlineLevel="1" x14ac:dyDescent="0.4">
      <c r="B180" s="14">
        <f>IF(D180&lt;&gt;"",COUNTA(D$2:D180),"")</f>
        <v>28</v>
      </c>
      <c r="C180" s="14">
        <f t="shared" si="9"/>
        <v>28</v>
      </c>
      <c r="D180" s="27" t="s">
        <v>181</v>
      </c>
      <c r="E180" s="19" t="s">
        <v>176</v>
      </c>
      <c r="F180" s="17"/>
      <c r="G180" s="14" t="str">
        <f>IF(ISBLANK(F180),"B","")</f>
        <v>B</v>
      </c>
      <c r="H180" s="14" t="str">
        <f>IF(OR(I180="",I180=-1),"",IF(I180&lt;4,"Đơn giản",IF(I180&lt;8,"Trung bình","Phức tạp")))</f>
        <v>Trung bình</v>
      </c>
      <c r="I180" s="4">
        <f t="shared" si="8"/>
        <v>5</v>
      </c>
    </row>
    <row r="181" spans="2:9" ht="36" customHeight="1" outlineLevel="1" x14ac:dyDescent="0.35">
      <c r="B181" s="14" t="str">
        <f>IF(D181&lt;&gt;"",COUNTA(D$2:D181),"")</f>
        <v/>
      </c>
      <c r="C181" s="14">
        <f t="shared" si="9"/>
        <v>28</v>
      </c>
      <c r="D181" s="27"/>
      <c r="E181" s="29"/>
      <c r="F181" s="17" t="s">
        <v>182</v>
      </c>
      <c r="G181" s="14"/>
      <c r="H181" s="14"/>
      <c r="I181" s="4" t="str">
        <f t="shared" si="8"/>
        <v/>
      </c>
    </row>
    <row r="182" spans="2:9" ht="36" customHeight="1" outlineLevel="1" x14ac:dyDescent="0.35">
      <c r="B182" s="14" t="str">
        <f>IF(D182&lt;&gt;"",COUNTA(D$2:D182),"")</f>
        <v/>
      </c>
      <c r="C182" s="14">
        <f t="shared" si="9"/>
        <v>28</v>
      </c>
      <c r="D182" s="27"/>
      <c r="E182" s="29"/>
      <c r="F182" s="17" t="s">
        <v>183</v>
      </c>
      <c r="G182" s="14"/>
      <c r="H182" s="14"/>
      <c r="I182" s="4" t="str">
        <f t="shared" si="8"/>
        <v/>
      </c>
    </row>
    <row r="183" spans="2:9" ht="36" customHeight="1" outlineLevel="1" x14ac:dyDescent="0.35">
      <c r="B183" s="14" t="str">
        <f>IF(D183&lt;&gt;"",COUNTA(D$2:D183),"")</f>
        <v/>
      </c>
      <c r="C183" s="14">
        <f t="shared" si="9"/>
        <v>28</v>
      </c>
      <c r="D183" s="27"/>
      <c r="E183" s="29"/>
      <c r="F183" s="17" t="s">
        <v>184</v>
      </c>
      <c r="G183" s="14"/>
      <c r="H183" s="14"/>
      <c r="I183" s="4" t="str">
        <f t="shared" si="8"/>
        <v/>
      </c>
    </row>
    <row r="184" spans="2:9" ht="18" customHeight="1" outlineLevel="1" x14ac:dyDescent="0.35">
      <c r="B184" s="14" t="str">
        <f>IF(D184&lt;&gt;"",COUNTA(D$2:D184),"")</f>
        <v/>
      </c>
      <c r="C184" s="14">
        <f t="shared" si="9"/>
        <v>28</v>
      </c>
      <c r="D184" s="27"/>
      <c r="E184" s="29"/>
      <c r="F184" s="17" t="s">
        <v>185</v>
      </c>
      <c r="G184" s="14"/>
      <c r="H184" s="14"/>
      <c r="I184" s="4" t="str">
        <f t="shared" si="8"/>
        <v/>
      </c>
    </row>
    <row r="185" spans="2:9" ht="36" customHeight="1" outlineLevel="1" x14ac:dyDescent="0.35">
      <c r="B185" s="14" t="str">
        <f>IF(D185&lt;&gt;"",COUNTA(D$2:D185),"")</f>
        <v/>
      </c>
      <c r="C185" s="14">
        <f t="shared" si="9"/>
        <v>28</v>
      </c>
      <c r="D185" s="27"/>
      <c r="E185" s="29"/>
      <c r="F185" s="17" t="s">
        <v>186</v>
      </c>
      <c r="G185" s="14"/>
      <c r="H185" s="14"/>
      <c r="I185" s="4" t="str">
        <f t="shared" si="8"/>
        <v/>
      </c>
    </row>
    <row r="186" spans="2:9" ht="108" customHeight="1" outlineLevel="1" x14ac:dyDescent="0.4">
      <c r="B186" s="14">
        <f>IF(D186&lt;&gt;"",COUNTA(D$2:D186),"")</f>
        <v>29</v>
      </c>
      <c r="C186" s="14">
        <f t="shared" si="9"/>
        <v>29</v>
      </c>
      <c r="D186" s="27" t="s">
        <v>187</v>
      </c>
      <c r="E186" s="19" t="s">
        <v>176</v>
      </c>
      <c r="F186" s="17"/>
      <c r="G186" s="14" t="str">
        <f>IF(ISBLANK(F186),"B","")</f>
        <v>B</v>
      </c>
      <c r="H186" s="14" t="str">
        <f>IF(OR(I186="",I186=-1),"",IF(I186&lt;4,"Đơn giản",IF(I186&lt;8,"Trung bình","Phức tạp")))</f>
        <v>Trung bình</v>
      </c>
      <c r="I186" s="4">
        <f t="shared" si="8"/>
        <v>5</v>
      </c>
    </row>
    <row r="187" spans="2:9" ht="36" customHeight="1" outlineLevel="1" x14ac:dyDescent="0.35">
      <c r="B187" s="14" t="str">
        <f>IF(D187&lt;&gt;"",COUNTA(D$2:D187),"")</f>
        <v/>
      </c>
      <c r="C187" s="14">
        <f t="shared" si="9"/>
        <v>29</v>
      </c>
      <c r="D187" s="27"/>
      <c r="E187" s="29"/>
      <c r="F187" s="17" t="s">
        <v>188</v>
      </c>
      <c r="G187" s="14"/>
      <c r="H187" s="14"/>
      <c r="I187" s="4" t="str">
        <f t="shared" si="8"/>
        <v/>
      </c>
    </row>
    <row r="188" spans="2:9" ht="36" customHeight="1" outlineLevel="1" x14ac:dyDescent="0.35">
      <c r="B188" s="14" t="str">
        <f>IF(D188&lt;&gt;"",COUNTA(D$2:D188),"")</f>
        <v/>
      </c>
      <c r="C188" s="14">
        <f t="shared" si="9"/>
        <v>29</v>
      </c>
      <c r="D188" s="27"/>
      <c r="E188" s="29"/>
      <c r="F188" s="17" t="s">
        <v>189</v>
      </c>
      <c r="G188" s="14"/>
      <c r="H188" s="14"/>
      <c r="I188" s="4" t="str">
        <f t="shared" si="8"/>
        <v/>
      </c>
    </row>
    <row r="189" spans="2:9" ht="36" customHeight="1" outlineLevel="1" x14ac:dyDescent="0.35">
      <c r="B189" s="14" t="str">
        <f>IF(D189&lt;&gt;"",COUNTA(D$2:D189),"")</f>
        <v/>
      </c>
      <c r="C189" s="14">
        <f t="shared" si="9"/>
        <v>29</v>
      </c>
      <c r="D189" s="27"/>
      <c r="E189" s="29"/>
      <c r="F189" s="17" t="s">
        <v>190</v>
      </c>
      <c r="G189" s="14"/>
      <c r="H189" s="14"/>
      <c r="I189" s="4" t="str">
        <f t="shared" si="8"/>
        <v/>
      </c>
    </row>
    <row r="190" spans="2:9" ht="36" customHeight="1" outlineLevel="1" x14ac:dyDescent="0.35">
      <c r="B190" s="14" t="str">
        <f>IF(D190&lt;&gt;"",COUNTA(D$2:D190),"")</f>
        <v/>
      </c>
      <c r="C190" s="14">
        <f t="shared" si="9"/>
        <v>29</v>
      </c>
      <c r="D190" s="27"/>
      <c r="E190" s="29"/>
      <c r="F190" s="17" t="s">
        <v>191</v>
      </c>
      <c r="G190" s="14"/>
      <c r="H190" s="14"/>
      <c r="I190" s="4" t="str">
        <f t="shared" si="8"/>
        <v/>
      </c>
    </row>
    <row r="191" spans="2:9" ht="36" customHeight="1" outlineLevel="1" x14ac:dyDescent="0.35">
      <c r="B191" s="14" t="str">
        <f>IF(D191&lt;&gt;"",COUNTA(D$2:D191),"")</f>
        <v/>
      </c>
      <c r="C191" s="14">
        <f t="shared" si="9"/>
        <v>29</v>
      </c>
      <c r="D191" s="27"/>
      <c r="E191" s="29"/>
      <c r="F191" s="17" t="s">
        <v>192</v>
      </c>
      <c r="G191" s="14"/>
      <c r="H191" s="14"/>
      <c r="I191" s="4" t="str">
        <f t="shared" si="8"/>
        <v/>
      </c>
    </row>
    <row r="192" spans="2:9" x14ac:dyDescent="0.35">
      <c r="B192" s="11" t="s">
        <v>193</v>
      </c>
      <c r="C192" s="8"/>
      <c r="D192" s="8"/>
      <c r="E192" s="8"/>
      <c r="F192" s="9"/>
      <c r="G192" s="12"/>
      <c r="H192" s="13"/>
      <c r="I192" s="4"/>
    </row>
    <row r="193" spans="2:9" ht="126" customHeight="1" outlineLevel="1" x14ac:dyDescent="0.35">
      <c r="B193" s="14">
        <f>IF(D193&lt;&gt;"",COUNTA(D$2:D193),"")</f>
        <v>30</v>
      </c>
      <c r="C193" s="14">
        <f t="shared" ref="C193:C256" si="10">IF(B193="",C192,B193)</f>
        <v>30</v>
      </c>
      <c r="D193" s="17" t="s">
        <v>194</v>
      </c>
      <c r="E193" s="16" t="s">
        <v>195</v>
      </c>
      <c r="F193" s="17"/>
      <c r="G193" s="14" t="str">
        <f>IF(ISBLANK(F193),"B","")</f>
        <v>B</v>
      </c>
      <c r="H193" s="14" t="str">
        <f>IF(OR(I193="",I193=-1),"",IF(I193&lt;4,"Đơn giản",IF(I193&lt;8,"Trung bình","Phức tạp")))</f>
        <v>Trung bình</v>
      </c>
      <c r="I193" s="4">
        <f t="shared" ref="I193:I256" si="11">IF(B193="","", COUNTIF($C:$C,B193)-1)</f>
        <v>5</v>
      </c>
    </row>
    <row r="194" spans="2:9" ht="36" customHeight="1" outlineLevel="1" x14ac:dyDescent="0.35">
      <c r="B194" s="14" t="str">
        <f>IF(D194&lt;&gt;"",COUNTA(D$2:D194),"")</f>
        <v/>
      </c>
      <c r="C194" s="14">
        <f t="shared" si="10"/>
        <v>30</v>
      </c>
      <c r="D194" s="17"/>
      <c r="E194" s="16"/>
      <c r="F194" s="17" t="s">
        <v>196</v>
      </c>
      <c r="G194" s="14"/>
      <c r="H194" s="14"/>
      <c r="I194" s="4" t="str">
        <f t="shared" si="11"/>
        <v/>
      </c>
    </row>
    <row r="195" spans="2:9" ht="36" customHeight="1" outlineLevel="1" x14ac:dyDescent="0.35">
      <c r="B195" s="14" t="str">
        <f>IF(D195&lt;&gt;"",COUNTA(D$2:D195),"")</f>
        <v/>
      </c>
      <c r="C195" s="14">
        <f t="shared" si="10"/>
        <v>30</v>
      </c>
      <c r="D195" s="17"/>
      <c r="E195" s="16"/>
      <c r="F195" s="17" t="s">
        <v>197</v>
      </c>
      <c r="G195" s="14"/>
      <c r="H195" s="14"/>
      <c r="I195" s="4" t="str">
        <f t="shared" si="11"/>
        <v/>
      </c>
    </row>
    <row r="196" spans="2:9" ht="36" customHeight="1" outlineLevel="1" x14ac:dyDescent="0.35">
      <c r="B196" s="14" t="str">
        <f>IF(D196&lt;&gt;"",COUNTA(D$2:D196),"")</f>
        <v/>
      </c>
      <c r="C196" s="14">
        <f t="shared" si="10"/>
        <v>30</v>
      </c>
      <c r="D196" s="17"/>
      <c r="E196" s="16"/>
      <c r="F196" s="17" t="s">
        <v>198</v>
      </c>
      <c r="G196" s="14"/>
      <c r="H196" s="14"/>
      <c r="I196" s="4" t="str">
        <f t="shared" si="11"/>
        <v/>
      </c>
    </row>
    <row r="197" spans="2:9" ht="36" customHeight="1" outlineLevel="1" x14ac:dyDescent="0.35">
      <c r="B197" s="14" t="str">
        <f>IF(D197&lt;&gt;"",COUNTA(D$2:D197),"")</f>
        <v/>
      </c>
      <c r="C197" s="14">
        <f t="shared" si="10"/>
        <v>30</v>
      </c>
      <c r="D197" s="17"/>
      <c r="E197" s="16"/>
      <c r="F197" s="17" t="s">
        <v>199</v>
      </c>
      <c r="G197" s="14"/>
      <c r="H197" s="14"/>
      <c r="I197" s="4" t="str">
        <f t="shared" si="11"/>
        <v/>
      </c>
    </row>
    <row r="198" spans="2:9" ht="36" customHeight="1" outlineLevel="1" x14ac:dyDescent="0.35">
      <c r="B198" s="14" t="str">
        <f>IF(D198&lt;&gt;"",COUNTA(D$2:D198),"")</f>
        <v/>
      </c>
      <c r="C198" s="14">
        <f t="shared" si="10"/>
        <v>30</v>
      </c>
      <c r="D198" s="17"/>
      <c r="E198" s="16"/>
      <c r="F198" s="17" t="s">
        <v>200</v>
      </c>
      <c r="G198" s="14"/>
      <c r="H198" s="14"/>
      <c r="I198" s="4" t="str">
        <f t="shared" si="11"/>
        <v/>
      </c>
    </row>
    <row r="199" spans="2:9" ht="72" customHeight="1" outlineLevel="1" x14ac:dyDescent="0.35">
      <c r="B199" s="14">
        <f>IF(D199&lt;&gt;"",COUNTA(D$2:D199),"")</f>
        <v>31</v>
      </c>
      <c r="C199" s="14">
        <f t="shared" si="10"/>
        <v>31</v>
      </c>
      <c r="D199" s="17" t="s">
        <v>201</v>
      </c>
      <c r="E199" s="16" t="s">
        <v>202</v>
      </c>
      <c r="F199" s="17"/>
      <c r="G199" s="14" t="str">
        <f>IF(ISBLANK(F199),"B","")</f>
        <v>B</v>
      </c>
      <c r="H199" s="14" t="str">
        <f>IF(OR(I199="",I199=-1),"",IF(I199&lt;4,"Đơn giản",IF(I199&lt;8,"Trung bình","Phức tạp")))</f>
        <v>Trung bình</v>
      </c>
      <c r="I199" s="4">
        <f t="shared" si="11"/>
        <v>5</v>
      </c>
    </row>
    <row r="200" spans="2:9" ht="54" customHeight="1" outlineLevel="1" x14ac:dyDescent="0.35">
      <c r="B200" s="14" t="str">
        <f>IF(D200&lt;&gt;"",COUNTA(D$2:D200),"")</f>
        <v/>
      </c>
      <c r="C200" s="14">
        <f t="shared" si="10"/>
        <v>31</v>
      </c>
      <c r="D200" s="17"/>
      <c r="E200" s="16"/>
      <c r="F200" s="17" t="s">
        <v>203</v>
      </c>
      <c r="G200" s="14"/>
      <c r="H200" s="14"/>
      <c r="I200" s="4" t="str">
        <f t="shared" si="11"/>
        <v/>
      </c>
    </row>
    <row r="201" spans="2:9" ht="36" customHeight="1" outlineLevel="1" x14ac:dyDescent="0.35">
      <c r="B201" s="14" t="str">
        <f>IF(D201&lt;&gt;"",COUNTA(D$2:D201),"")</f>
        <v/>
      </c>
      <c r="C201" s="14">
        <f t="shared" si="10"/>
        <v>31</v>
      </c>
      <c r="D201" s="17"/>
      <c r="E201" s="16"/>
      <c r="F201" s="17" t="s">
        <v>204</v>
      </c>
      <c r="G201" s="14"/>
      <c r="H201" s="14"/>
      <c r="I201" s="4" t="str">
        <f t="shared" si="11"/>
        <v/>
      </c>
    </row>
    <row r="202" spans="2:9" ht="36" customHeight="1" outlineLevel="1" x14ac:dyDescent="0.35">
      <c r="B202" s="14" t="str">
        <f>IF(D202&lt;&gt;"",COUNTA(D$2:D202),"")</f>
        <v/>
      </c>
      <c r="C202" s="14">
        <f t="shared" si="10"/>
        <v>31</v>
      </c>
      <c r="D202" s="17"/>
      <c r="E202" s="16"/>
      <c r="F202" s="17" t="s">
        <v>205</v>
      </c>
      <c r="G202" s="14"/>
      <c r="H202" s="14"/>
      <c r="I202" s="4" t="str">
        <f t="shared" si="11"/>
        <v/>
      </c>
    </row>
    <row r="203" spans="2:9" outlineLevel="1" x14ac:dyDescent="0.35">
      <c r="B203" s="14" t="str">
        <f>IF(D203&lt;&gt;"",COUNTA(D$2:D203),"")</f>
        <v/>
      </c>
      <c r="C203" s="14">
        <f t="shared" si="10"/>
        <v>31</v>
      </c>
      <c r="D203" s="17"/>
      <c r="E203" s="16"/>
      <c r="F203" s="17" t="s">
        <v>206</v>
      </c>
      <c r="G203" s="14"/>
      <c r="H203" s="14"/>
      <c r="I203" s="4" t="str">
        <f t="shared" si="11"/>
        <v/>
      </c>
    </row>
    <row r="204" spans="2:9" ht="36" customHeight="1" outlineLevel="1" x14ac:dyDescent="0.35">
      <c r="B204" s="14" t="str">
        <f>IF(D204&lt;&gt;"",COUNTA(D$2:D204),"")</f>
        <v/>
      </c>
      <c r="C204" s="14">
        <f t="shared" si="10"/>
        <v>31</v>
      </c>
      <c r="D204" s="17"/>
      <c r="E204" s="16"/>
      <c r="F204" s="17" t="s">
        <v>207</v>
      </c>
      <c r="G204" s="14"/>
      <c r="H204" s="14"/>
      <c r="I204" s="4" t="str">
        <f t="shared" si="11"/>
        <v/>
      </c>
    </row>
    <row r="205" spans="2:9" ht="72" customHeight="1" outlineLevel="1" x14ac:dyDescent="0.35">
      <c r="B205" s="14">
        <f>IF(D205&lt;&gt;"",COUNTA(D$2:D205),"")</f>
        <v>32</v>
      </c>
      <c r="C205" s="14">
        <f t="shared" si="10"/>
        <v>32</v>
      </c>
      <c r="D205" s="17" t="s">
        <v>208</v>
      </c>
      <c r="E205" s="16" t="s">
        <v>202</v>
      </c>
      <c r="F205" s="17"/>
      <c r="G205" s="14" t="str">
        <f>IF(ISBLANK(F205),"B","")</f>
        <v>B</v>
      </c>
      <c r="H205" s="14" t="str">
        <f>IF(OR(I205="",I205=-1),"",IF(I205&lt;4,"Đơn giản",IF(I205&lt;8,"Trung bình","Phức tạp")))</f>
        <v>Đơn giản</v>
      </c>
      <c r="I205" s="4">
        <f t="shared" si="11"/>
        <v>2</v>
      </c>
    </row>
    <row r="206" spans="2:9" ht="36" customHeight="1" outlineLevel="1" x14ac:dyDescent="0.35">
      <c r="B206" s="14" t="str">
        <f>IF(D206&lt;&gt;"",COUNTA(D$2:D206),"")</f>
        <v/>
      </c>
      <c r="C206" s="14">
        <f t="shared" si="10"/>
        <v>32</v>
      </c>
      <c r="D206" s="17"/>
      <c r="E206" s="16"/>
      <c r="F206" s="17" t="s">
        <v>209</v>
      </c>
      <c r="G206" s="14"/>
      <c r="H206" s="14"/>
      <c r="I206" s="4" t="str">
        <f t="shared" si="11"/>
        <v/>
      </c>
    </row>
    <row r="207" spans="2:9" ht="54" customHeight="1" outlineLevel="1" x14ac:dyDescent="0.35">
      <c r="B207" s="14" t="str">
        <f>IF(D207&lt;&gt;"",COUNTA(D$2:D207),"")</f>
        <v/>
      </c>
      <c r="C207" s="14">
        <f t="shared" si="10"/>
        <v>32</v>
      </c>
      <c r="D207" s="17"/>
      <c r="E207" s="16"/>
      <c r="F207" s="17" t="s">
        <v>210</v>
      </c>
      <c r="G207" s="14"/>
      <c r="H207" s="14"/>
      <c r="I207" s="4" t="str">
        <f t="shared" si="11"/>
        <v/>
      </c>
    </row>
    <row r="208" spans="2:9" ht="36" customHeight="1" outlineLevel="1" x14ac:dyDescent="0.35">
      <c r="B208" s="14">
        <f>IF(D208&lt;&gt;"",COUNTA(D$2:D208),"")</f>
        <v>33</v>
      </c>
      <c r="C208" s="14">
        <f t="shared" si="10"/>
        <v>33</v>
      </c>
      <c r="D208" s="17" t="s">
        <v>211</v>
      </c>
      <c r="E208" s="16" t="s">
        <v>212</v>
      </c>
      <c r="F208" s="17"/>
      <c r="G208" s="14" t="str">
        <f>IF(ISBLANK(F208),"B","")</f>
        <v>B</v>
      </c>
      <c r="H208" s="14" t="str">
        <f>IF(OR(I208="",I208=-1),"",IF(I208&lt;4,"Đơn giản",IF(I208&lt;8,"Trung bình","Phức tạp")))</f>
        <v>Đơn giản</v>
      </c>
      <c r="I208" s="4">
        <f t="shared" si="11"/>
        <v>2</v>
      </c>
    </row>
    <row r="209" spans="2:9" ht="36" customHeight="1" outlineLevel="1" x14ac:dyDescent="0.35">
      <c r="B209" s="14" t="str">
        <f>IF(D209&lt;&gt;"",COUNTA(D$2:D209),"")</f>
        <v/>
      </c>
      <c r="C209" s="14">
        <f t="shared" si="10"/>
        <v>33</v>
      </c>
      <c r="D209" s="17"/>
      <c r="E209" s="16"/>
      <c r="F209" s="17" t="s">
        <v>213</v>
      </c>
      <c r="G209" s="14"/>
      <c r="H209" s="14"/>
      <c r="I209" s="4" t="str">
        <f t="shared" si="11"/>
        <v/>
      </c>
    </row>
    <row r="210" spans="2:9" ht="36" customHeight="1" outlineLevel="1" x14ac:dyDescent="0.35">
      <c r="B210" s="14" t="str">
        <f>IF(D210&lt;&gt;"",COUNTA(D$2:D210),"")</f>
        <v/>
      </c>
      <c r="C210" s="14">
        <f t="shared" si="10"/>
        <v>33</v>
      </c>
      <c r="D210" s="17"/>
      <c r="E210" s="16"/>
      <c r="F210" s="17" t="s">
        <v>214</v>
      </c>
      <c r="G210" s="14"/>
      <c r="H210" s="14"/>
      <c r="I210" s="4" t="str">
        <f t="shared" si="11"/>
        <v/>
      </c>
    </row>
    <row r="211" spans="2:9" ht="72" customHeight="1" outlineLevel="1" x14ac:dyDescent="0.35">
      <c r="B211" s="14">
        <f>IF(D211&lt;&gt;"",COUNTA(D$2:D211),"")</f>
        <v>34</v>
      </c>
      <c r="C211" s="14">
        <f t="shared" si="10"/>
        <v>34</v>
      </c>
      <c r="D211" s="17" t="s">
        <v>215</v>
      </c>
      <c r="E211" s="16" t="s">
        <v>202</v>
      </c>
      <c r="F211" s="17"/>
      <c r="G211" s="14" t="str">
        <f>IF(ISBLANK(F211),"B","")</f>
        <v>B</v>
      </c>
      <c r="H211" s="14" t="str">
        <f>IF(OR(I211="",I211=-1),"",IF(I211&lt;4,"Đơn giản",IF(I211&lt;8,"Trung bình","Phức tạp")))</f>
        <v>Trung bình</v>
      </c>
      <c r="I211" s="4">
        <f t="shared" si="11"/>
        <v>4</v>
      </c>
    </row>
    <row r="212" spans="2:9" ht="54" customHeight="1" outlineLevel="1" x14ac:dyDescent="0.35">
      <c r="B212" s="14" t="str">
        <f>IF(D212&lt;&gt;"",COUNTA(D$2:D212),"")</f>
        <v/>
      </c>
      <c r="C212" s="14">
        <f t="shared" si="10"/>
        <v>34</v>
      </c>
      <c r="D212" s="17"/>
      <c r="E212" s="16"/>
      <c r="F212" s="17" t="s">
        <v>216</v>
      </c>
      <c r="G212" s="14"/>
      <c r="H212" s="14"/>
      <c r="I212" s="4" t="str">
        <f t="shared" si="11"/>
        <v/>
      </c>
    </row>
    <row r="213" spans="2:9" ht="54" customHeight="1" outlineLevel="1" x14ac:dyDescent="0.35">
      <c r="B213" s="14" t="str">
        <f>IF(D213&lt;&gt;"",COUNTA(D$2:D213),"")</f>
        <v/>
      </c>
      <c r="C213" s="14">
        <f t="shared" si="10"/>
        <v>34</v>
      </c>
      <c r="D213" s="17"/>
      <c r="E213" s="16"/>
      <c r="F213" s="17" t="s">
        <v>217</v>
      </c>
      <c r="G213" s="14"/>
      <c r="H213" s="14"/>
      <c r="I213" s="4" t="str">
        <f t="shared" si="11"/>
        <v/>
      </c>
    </row>
    <row r="214" spans="2:9" outlineLevel="1" x14ac:dyDescent="0.35">
      <c r="B214" s="14" t="str">
        <f>IF(D214&lt;&gt;"",COUNTA(D$2:D214),"")</f>
        <v/>
      </c>
      <c r="C214" s="14">
        <f t="shared" si="10"/>
        <v>34</v>
      </c>
      <c r="D214" s="17"/>
      <c r="E214" s="16"/>
      <c r="F214" s="17" t="s">
        <v>218</v>
      </c>
      <c r="G214" s="14"/>
      <c r="H214" s="14"/>
      <c r="I214" s="4" t="str">
        <f t="shared" si="11"/>
        <v/>
      </c>
    </row>
    <row r="215" spans="2:9" ht="36" customHeight="1" outlineLevel="1" x14ac:dyDescent="0.35">
      <c r="B215" s="14" t="str">
        <f>IF(D215&lt;&gt;"",COUNTA(D$2:D215),"")</f>
        <v/>
      </c>
      <c r="C215" s="14">
        <f t="shared" si="10"/>
        <v>34</v>
      </c>
      <c r="D215" s="17"/>
      <c r="E215" s="16"/>
      <c r="F215" s="17" t="s">
        <v>219</v>
      </c>
      <c r="G215" s="14"/>
      <c r="H215" s="14"/>
      <c r="I215" s="4" t="str">
        <f t="shared" si="11"/>
        <v/>
      </c>
    </row>
    <row r="216" spans="2:9" ht="36" customHeight="1" outlineLevel="1" x14ac:dyDescent="0.35">
      <c r="B216" s="14">
        <f>IF(D216&lt;&gt;"",COUNTA(D$2:D216),"")</f>
        <v>35</v>
      </c>
      <c r="C216" s="14">
        <f t="shared" si="10"/>
        <v>35</v>
      </c>
      <c r="D216" s="17" t="s">
        <v>220</v>
      </c>
      <c r="E216" s="16" t="s">
        <v>212</v>
      </c>
      <c r="F216" s="17"/>
      <c r="G216" s="14" t="str">
        <f>IF(ISBLANK(F216),"B","")</f>
        <v>B</v>
      </c>
      <c r="H216" s="14" t="str">
        <f>IF(OR(I216="",I216=-1),"",IF(I216&lt;4,"Đơn giản",IF(I216&lt;8,"Trung bình","Phức tạp")))</f>
        <v>Trung bình</v>
      </c>
      <c r="I216" s="4">
        <f t="shared" si="11"/>
        <v>5</v>
      </c>
    </row>
    <row r="217" spans="2:9" ht="54" customHeight="1" outlineLevel="1" x14ac:dyDescent="0.35">
      <c r="B217" s="14" t="str">
        <f>IF(D217&lt;&gt;"",COUNTA(D$2:D217),"")</f>
        <v/>
      </c>
      <c r="C217" s="14">
        <f t="shared" si="10"/>
        <v>35</v>
      </c>
      <c r="D217" s="17"/>
      <c r="E217" s="16"/>
      <c r="F217" s="17" t="s">
        <v>221</v>
      </c>
      <c r="G217" s="14"/>
      <c r="H217" s="14"/>
      <c r="I217" s="4" t="str">
        <f t="shared" si="11"/>
        <v/>
      </c>
    </row>
    <row r="218" spans="2:9" ht="36" customHeight="1" outlineLevel="1" x14ac:dyDescent="0.35">
      <c r="B218" s="14" t="str">
        <f>IF(D218&lt;&gt;"",COUNTA(D$2:D218),"")</f>
        <v/>
      </c>
      <c r="C218" s="14">
        <f t="shared" si="10"/>
        <v>35</v>
      </c>
      <c r="D218" s="17"/>
      <c r="E218" s="16"/>
      <c r="F218" s="17" t="s">
        <v>222</v>
      </c>
      <c r="G218" s="14"/>
      <c r="H218" s="14"/>
      <c r="I218" s="4" t="str">
        <f t="shared" si="11"/>
        <v/>
      </c>
    </row>
    <row r="219" spans="2:9" outlineLevel="1" x14ac:dyDescent="0.35">
      <c r="B219" s="14" t="str">
        <f>IF(D219&lt;&gt;"",COUNTA(D$2:D219),"")</f>
        <v/>
      </c>
      <c r="C219" s="14">
        <f t="shared" si="10"/>
        <v>35</v>
      </c>
      <c r="D219" s="17"/>
      <c r="E219" s="16"/>
      <c r="F219" s="17" t="s">
        <v>223</v>
      </c>
      <c r="G219" s="14"/>
      <c r="H219" s="14"/>
      <c r="I219" s="4" t="str">
        <f t="shared" si="11"/>
        <v/>
      </c>
    </row>
    <row r="220" spans="2:9" ht="36" customHeight="1" outlineLevel="1" x14ac:dyDescent="0.35">
      <c r="B220" s="14" t="str">
        <f>IF(D220&lt;&gt;"",COUNTA(D$2:D220),"")</f>
        <v/>
      </c>
      <c r="C220" s="14">
        <f t="shared" si="10"/>
        <v>35</v>
      </c>
      <c r="D220" s="17"/>
      <c r="E220" s="16"/>
      <c r="F220" s="17" t="s">
        <v>224</v>
      </c>
      <c r="G220" s="14"/>
      <c r="H220" s="14"/>
      <c r="I220" s="4" t="str">
        <f t="shared" si="11"/>
        <v/>
      </c>
    </row>
    <row r="221" spans="2:9" ht="72" customHeight="1" outlineLevel="1" x14ac:dyDescent="0.35">
      <c r="B221" s="14" t="str">
        <f>IF(D221&lt;&gt;"",COUNTA(D$2:D221),"")</f>
        <v/>
      </c>
      <c r="C221" s="14">
        <f t="shared" si="10"/>
        <v>35</v>
      </c>
      <c r="D221" s="17"/>
      <c r="E221" s="16"/>
      <c r="F221" s="17" t="s">
        <v>225</v>
      </c>
      <c r="G221" s="14"/>
      <c r="H221" s="14"/>
      <c r="I221" s="4" t="str">
        <f t="shared" si="11"/>
        <v/>
      </c>
    </row>
    <row r="222" spans="2:9" ht="72" customHeight="1" outlineLevel="1" x14ac:dyDescent="0.35">
      <c r="B222" s="14">
        <f>IF(D222&lt;&gt;"",COUNTA(D$2:D222),"")</f>
        <v>36</v>
      </c>
      <c r="C222" s="14">
        <f t="shared" si="10"/>
        <v>36</v>
      </c>
      <c r="D222" s="17" t="s">
        <v>226</v>
      </c>
      <c r="E222" s="16" t="s">
        <v>202</v>
      </c>
      <c r="F222" s="17"/>
      <c r="G222" s="14" t="str">
        <f>IF(ISBLANK(F222),"B","")</f>
        <v>B</v>
      </c>
      <c r="H222" s="14" t="str">
        <f>IF(OR(I222="",I222=-1),"",IF(I222&lt;4,"Đơn giản",IF(I222&lt;8,"Trung bình","Phức tạp")))</f>
        <v>Trung bình</v>
      </c>
      <c r="I222" s="4">
        <f t="shared" si="11"/>
        <v>5</v>
      </c>
    </row>
    <row r="223" spans="2:9" ht="54" customHeight="1" outlineLevel="1" x14ac:dyDescent="0.35">
      <c r="B223" s="14" t="str">
        <f>IF(D223&lt;&gt;"",COUNTA(D$2:D223),"")</f>
        <v/>
      </c>
      <c r="C223" s="14">
        <f t="shared" si="10"/>
        <v>36</v>
      </c>
      <c r="D223" s="17"/>
      <c r="E223" s="16"/>
      <c r="F223" s="17" t="s">
        <v>227</v>
      </c>
      <c r="G223" s="14"/>
      <c r="H223" s="14"/>
      <c r="I223" s="4" t="str">
        <f t="shared" si="11"/>
        <v/>
      </c>
    </row>
    <row r="224" spans="2:9" ht="36" customHeight="1" outlineLevel="1" x14ac:dyDescent="0.35">
      <c r="B224" s="14" t="str">
        <f>IF(D224&lt;&gt;"",COUNTA(D$2:D224),"")</f>
        <v/>
      </c>
      <c r="C224" s="14">
        <f t="shared" si="10"/>
        <v>36</v>
      </c>
      <c r="D224" s="17"/>
      <c r="E224" s="16"/>
      <c r="F224" s="17" t="s">
        <v>228</v>
      </c>
      <c r="G224" s="14"/>
      <c r="H224" s="14"/>
      <c r="I224" s="4" t="str">
        <f t="shared" si="11"/>
        <v/>
      </c>
    </row>
    <row r="225" spans="2:9" ht="54" customHeight="1" outlineLevel="1" x14ac:dyDescent="0.35">
      <c r="B225" s="14" t="str">
        <f>IF(D225&lt;&gt;"",COUNTA(D$2:D225),"")</f>
        <v/>
      </c>
      <c r="C225" s="14">
        <f t="shared" si="10"/>
        <v>36</v>
      </c>
      <c r="D225" s="17"/>
      <c r="E225" s="16"/>
      <c r="F225" s="17" t="s">
        <v>229</v>
      </c>
      <c r="G225" s="14"/>
      <c r="H225" s="14"/>
      <c r="I225" s="4" t="str">
        <f t="shared" si="11"/>
        <v/>
      </c>
    </row>
    <row r="226" spans="2:9" ht="54" customHeight="1" outlineLevel="1" x14ac:dyDescent="0.35">
      <c r="B226" s="14" t="str">
        <f>IF(D226&lt;&gt;"",COUNTA(D$2:D226),"")</f>
        <v/>
      </c>
      <c r="C226" s="14">
        <f t="shared" si="10"/>
        <v>36</v>
      </c>
      <c r="D226" s="17"/>
      <c r="E226" s="16"/>
      <c r="F226" s="17" t="s">
        <v>230</v>
      </c>
      <c r="G226" s="14"/>
      <c r="H226" s="14"/>
      <c r="I226" s="4" t="str">
        <f t="shared" si="11"/>
        <v/>
      </c>
    </row>
    <row r="227" spans="2:9" ht="54" customHeight="1" outlineLevel="1" x14ac:dyDescent="0.35">
      <c r="B227" s="14" t="str">
        <f>IF(D227&lt;&gt;"",COUNTA(D$2:D227),"")</f>
        <v/>
      </c>
      <c r="C227" s="14">
        <f t="shared" si="10"/>
        <v>36</v>
      </c>
      <c r="D227" s="17"/>
      <c r="E227" s="16"/>
      <c r="F227" s="17" t="s">
        <v>231</v>
      </c>
      <c r="G227" s="14"/>
      <c r="H227" s="14"/>
      <c r="I227" s="4" t="str">
        <f t="shared" si="11"/>
        <v/>
      </c>
    </row>
    <row r="228" spans="2:9" ht="36" customHeight="1" outlineLevel="1" x14ac:dyDescent="0.35">
      <c r="B228" s="14">
        <f>IF(D228&lt;&gt;"",COUNTA(D$2:D228),"")</f>
        <v>37</v>
      </c>
      <c r="C228" s="14">
        <f t="shared" si="10"/>
        <v>37</v>
      </c>
      <c r="D228" s="17" t="s">
        <v>232</v>
      </c>
      <c r="E228" s="16" t="s">
        <v>212</v>
      </c>
      <c r="F228" s="17"/>
      <c r="G228" s="14" t="str">
        <f>IF(ISBLANK(F228),"B","")</f>
        <v>B</v>
      </c>
      <c r="H228" s="14" t="str">
        <f>IF(OR(I228="",I228=-1),"",IF(I228&lt;4,"Đơn giản",IF(I228&lt;8,"Trung bình","Phức tạp")))</f>
        <v>Trung bình</v>
      </c>
      <c r="I228" s="4">
        <f t="shared" si="11"/>
        <v>4</v>
      </c>
    </row>
    <row r="229" spans="2:9" ht="36" customHeight="1" outlineLevel="1" x14ac:dyDescent="0.35">
      <c r="B229" s="14" t="str">
        <f>IF(D229&lt;&gt;"",COUNTA(D$2:D229),"")</f>
        <v/>
      </c>
      <c r="C229" s="14">
        <f t="shared" si="10"/>
        <v>37</v>
      </c>
      <c r="D229" s="17"/>
      <c r="E229" s="16"/>
      <c r="F229" s="17" t="s">
        <v>233</v>
      </c>
      <c r="G229" s="14"/>
      <c r="H229" s="14"/>
      <c r="I229" s="4" t="str">
        <f t="shared" si="11"/>
        <v/>
      </c>
    </row>
    <row r="230" spans="2:9" ht="36" customHeight="1" outlineLevel="1" x14ac:dyDescent="0.35">
      <c r="B230" s="14" t="str">
        <f>IF(D230&lt;&gt;"",COUNTA(D$2:D230),"")</f>
        <v/>
      </c>
      <c r="C230" s="14">
        <f t="shared" si="10"/>
        <v>37</v>
      </c>
      <c r="D230" s="17"/>
      <c r="E230" s="16"/>
      <c r="F230" s="17" t="s">
        <v>234</v>
      </c>
      <c r="G230" s="14"/>
      <c r="H230" s="14"/>
      <c r="I230" s="4" t="str">
        <f t="shared" si="11"/>
        <v/>
      </c>
    </row>
    <row r="231" spans="2:9" ht="36" customHeight="1" outlineLevel="1" x14ac:dyDescent="0.35">
      <c r="B231" s="14" t="str">
        <f>IF(D231&lt;&gt;"",COUNTA(D$2:D231),"")</f>
        <v/>
      </c>
      <c r="C231" s="14">
        <f t="shared" si="10"/>
        <v>37</v>
      </c>
      <c r="D231" s="17"/>
      <c r="E231" s="16"/>
      <c r="F231" s="17" t="s">
        <v>235</v>
      </c>
      <c r="G231" s="14"/>
      <c r="H231" s="14"/>
      <c r="I231" s="4" t="str">
        <f t="shared" si="11"/>
        <v/>
      </c>
    </row>
    <row r="232" spans="2:9" ht="36" customHeight="1" outlineLevel="1" x14ac:dyDescent="0.35">
      <c r="B232" s="14" t="str">
        <f>IF(D232&lt;&gt;"",COUNTA(D$2:D232),"")</f>
        <v/>
      </c>
      <c r="C232" s="14">
        <f t="shared" si="10"/>
        <v>37</v>
      </c>
      <c r="D232" s="17"/>
      <c r="E232" s="16"/>
      <c r="F232" s="17" t="s">
        <v>236</v>
      </c>
      <c r="G232" s="14"/>
      <c r="H232" s="14"/>
      <c r="I232" s="4" t="str">
        <f t="shared" si="11"/>
        <v/>
      </c>
    </row>
    <row r="233" spans="2:9" ht="36" customHeight="1" outlineLevel="1" x14ac:dyDescent="0.35">
      <c r="B233" s="14">
        <f>IF(D233&lt;&gt;"",COUNTA(D$2:D233),"")</f>
        <v>38</v>
      </c>
      <c r="C233" s="14">
        <f t="shared" si="10"/>
        <v>38</v>
      </c>
      <c r="D233" s="17" t="s">
        <v>237</v>
      </c>
      <c r="E233" s="16" t="s">
        <v>212</v>
      </c>
      <c r="F233" s="17"/>
      <c r="G233" s="14" t="str">
        <f>IF(ISBLANK(F233),"B","")</f>
        <v>B</v>
      </c>
      <c r="H233" s="14" t="str">
        <f>IF(OR(I233="",I233=-1),"",IF(I233&lt;4,"Đơn giản",IF(I233&lt;8,"Trung bình","Phức tạp")))</f>
        <v>Trung bình</v>
      </c>
      <c r="I233" s="4">
        <f t="shared" si="11"/>
        <v>4</v>
      </c>
    </row>
    <row r="234" spans="2:9" ht="54" customHeight="1" outlineLevel="1" x14ac:dyDescent="0.35">
      <c r="B234" s="14" t="str">
        <f>IF(D234&lt;&gt;"",COUNTA(D$2:D234),"")</f>
        <v/>
      </c>
      <c r="C234" s="14">
        <f t="shared" si="10"/>
        <v>38</v>
      </c>
      <c r="D234" s="17"/>
      <c r="E234" s="16"/>
      <c r="F234" s="17" t="s">
        <v>238</v>
      </c>
      <c r="G234" s="14"/>
      <c r="H234" s="14"/>
      <c r="I234" s="4" t="str">
        <f t="shared" si="11"/>
        <v/>
      </c>
    </row>
    <row r="235" spans="2:9" ht="36" customHeight="1" outlineLevel="1" x14ac:dyDescent="0.35">
      <c r="B235" s="14" t="str">
        <f>IF(D235&lt;&gt;"",COUNTA(D$2:D235),"")</f>
        <v/>
      </c>
      <c r="C235" s="14">
        <f t="shared" si="10"/>
        <v>38</v>
      </c>
      <c r="D235" s="17"/>
      <c r="E235" s="16"/>
      <c r="F235" s="17" t="s">
        <v>239</v>
      </c>
      <c r="G235" s="14"/>
      <c r="H235" s="14"/>
      <c r="I235" s="4" t="str">
        <f t="shared" si="11"/>
        <v/>
      </c>
    </row>
    <row r="236" spans="2:9" ht="36" customHeight="1" outlineLevel="1" x14ac:dyDescent="0.35">
      <c r="B236" s="14" t="str">
        <f>IF(D236&lt;&gt;"",COUNTA(D$2:D236),"")</f>
        <v/>
      </c>
      <c r="C236" s="14">
        <f t="shared" si="10"/>
        <v>38</v>
      </c>
      <c r="D236" s="17"/>
      <c r="E236" s="16"/>
      <c r="F236" s="17" t="s">
        <v>240</v>
      </c>
      <c r="G236" s="14"/>
      <c r="H236" s="14"/>
      <c r="I236" s="4" t="str">
        <f t="shared" si="11"/>
        <v/>
      </c>
    </row>
    <row r="237" spans="2:9" ht="36" customHeight="1" outlineLevel="1" x14ac:dyDescent="0.35">
      <c r="B237" s="14" t="str">
        <f>IF(D237&lt;&gt;"",COUNTA(D$2:D237),"")</f>
        <v/>
      </c>
      <c r="C237" s="14">
        <f t="shared" si="10"/>
        <v>38</v>
      </c>
      <c r="D237" s="17"/>
      <c r="E237" s="16"/>
      <c r="F237" s="17" t="s">
        <v>241</v>
      </c>
      <c r="G237" s="14"/>
      <c r="H237" s="14"/>
      <c r="I237" s="4" t="str">
        <f t="shared" si="11"/>
        <v/>
      </c>
    </row>
    <row r="238" spans="2:9" ht="36" customHeight="1" outlineLevel="1" x14ac:dyDescent="0.35">
      <c r="B238" s="14">
        <f>IF(D238&lt;&gt;"",COUNTA(D$2:D238),"")</f>
        <v>39</v>
      </c>
      <c r="C238" s="14">
        <f t="shared" si="10"/>
        <v>39</v>
      </c>
      <c r="D238" s="17" t="s">
        <v>242</v>
      </c>
      <c r="E238" s="16" t="s">
        <v>212</v>
      </c>
      <c r="F238" s="17"/>
      <c r="G238" s="14" t="str">
        <f>IF(ISBLANK(F238),"B","")</f>
        <v>B</v>
      </c>
      <c r="H238" s="14" t="str">
        <f>IF(OR(I238="",I238=-1),"",IF(I238&lt;4,"Đơn giản",IF(I238&lt;8,"Trung bình","Phức tạp")))</f>
        <v>Trung bình</v>
      </c>
      <c r="I238" s="4">
        <f t="shared" si="11"/>
        <v>4</v>
      </c>
    </row>
    <row r="239" spans="2:9" ht="36" customHeight="1" outlineLevel="1" x14ac:dyDescent="0.35">
      <c r="B239" s="14" t="str">
        <f>IF(D239&lt;&gt;"",COUNTA(D$2:D239),"")</f>
        <v/>
      </c>
      <c r="C239" s="14">
        <f t="shared" si="10"/>
        <v>39</v>
      </c>
      <c r="D239" s="17"/>
      <c r="E239" s="16"/>
      <c r="F239" s="17" t="s">
        <v>243</v>
      </c>
      <c r="G239" s="14"/>
      <c r="H239" s="14"/>
      <c r="I239" s="4" t="str">
        <f t="shared" si="11"/>
        <v/>
      </c>
    </row>
    <row r="240" spans="2:9" ht="54" customHeight="1" outlineLevel="1" x14ac:dyDescent="0.35">
      <c r="B240" s="14" t="str">
        <f>IF(D240&lt;&gt;"",COUNTA(D$2:D240),"")</f>
        <v/>
      </c>
      <c r="C240" s="14">
        <f t="shared" si="10"/>
        <v>39</v>
      </c>
      <c r="D240" s="17"/>
      <c r="E240" s="16"/>
      <c r="F240" s="17" t="s">
        <v>244</v>
      </c>
      <c r="G240" s="14"/>
      <c r="H240" s="14"/>
      <c r="I240" s="4" t="str">
        <f t="shared" si="11"/>
        <v/>
      </c>
    </row>
    <row r="241" spans="2:9" outlineLevel="1" x14ac:dyDescent="0.35">
      <c r="B241" s="14" t="str">
        <f>IF(D241&lt;&gt;"",COUNTA(D$2:D241),"")</f>
        <v/>
      </c>
      <c r="C241" s="14">
        <f t="shared" si="10"/>
        <v>39</v>
      </c>
      <c r="D241" s="17"/>
      <c r="E241" s="16"/>
      <c r="F241" s="17" t="s">
        <v>245</v>
      </c>
      <c r="G241" s="14"/>
      <c r="H241" s="14"/>
      <c r="I241" s="4" t="str">
        <f t="shared" si="11"/>
        <v/>
      </c>
    </row>
    <row r="242" spans="2:9" ht="36" customHeight="1" outlineLevel="1" x14ac:dyDescent="0.35">
      <c r="B242" s="14" t="str">
        <f>IF(D242&lt;&gt;"",COUNTA(D$2:D242),"")</f>
        <v/>
      </c>
      <c r="C242" s="14">
        <f t="shared" si="10"/>
        <v>39</v>
      </c>
      <c r="D242" s="17"/>
      <c r="E242" s="16"/>
      <c r="F242" s="17" t="s">
        <v>246</v>
      </c>
      <c r="G242" s="14"/>
      <c r="H242" s="14"/>
      <c r="I242" s="4" t="str">
        <f t="shared" si="11"/>
        <v/>
      </c>
    </row>
    <row r="243" spans="2:9" ht="72" customHeight="1" outlineLevel="1" x14ac:dyDescent="0.35">
      <c r="B243" s="14">
        <f>IF(D243&lt;&gt;"",COUNTA(D$2:D243),"")</f>
        <v>40</v>
      </c>
      <c r="C243" s="14">
        <f t="shared" si="10"/>
        <v>40</v>
      </c>
      <c r="D243" s="17" t="s">
        <v>247</v>
      </c>
      <c r="E243" s="16" t="s">
        <v>202</v>
      </c>
      <c r="F243" s="17"/>
      <c r="G243" s="14" t="str">
        <f>IF(ISBLANK(F243),"B","")</f>
        <v>B</v>
      </c>
      <c r="H243" s="14" t="str">
        <f>IF(OR(I243="",I243=-1),"",IF(I243&lt;4,"Đơn giản",IF(I243&lt;8,"Trung bình","Phức tạp")))</f>
        <v>Trung bình</v>
      </c>
      <c r="I243" s="4">
        <f t="shared" si="11"/>
        <v>5</v>
      </c>
    </row>
    <row r="244" spans="2:9" ht="54" customHeight="1" outlineLevel="1" x14ac:dyDescent="0.35">
      <c r="B244" s="14" t="str">
        <f>IF(D244&lt;&gt;"",COUNTA(D$2:D244),"")</f>
        <v/>
      </c>
      <c r="C244" s="14">
        <f t="shared" si="10"/>
        <v>40</v>
      </c>
      <c r="D244" s="17"/>
      <c r="E244" s="16"/>
      <c r="F244" s="17" t="s">
        <v>248</v>
      </c>
      <c r="G244" s="14"/>
      <c r="H244" s="14"/>
      <c r="I244" s="4" t="str">
        <f t="shared" si="11"/>
        <v/>
      </c>
    </row>
    <row r="245" spans="2:9" ht="36" customHeight="1" outlineLevel="1" x14ac:dyDescent="0.35">
      <c r="B245" s="14" t="str">
        <f>IF(D245&lt;&gt;"",COUNTA(D$2:D245),"")</f>
        <v/>
      </c>
      <c r="C245" s="14">
        <f t="shared" si="10"/>
        <v>40</v>
      </c>
      <c r="D245" s="17"/>
      <c r="E245" s="16"/>
      <c r="F245" s="17" t="s">
        <v>249</v>
      </c>
      <c r="G245" s="14"/>
      <c r="H245" s="14"/>
      <c r="I245" s="4" t="str">
        <f t="shared" si="11"/>
        <v/>
      </c>
    </row>
    <row r="246" spans="2:9" ht="54" customHeight="1" outlineLevel="1" x14ac:dyDescent="0.35">
      <c r="B246" s="14" t="str">
        <f>IF(D246&lt;&gt;"",COUNTA(D$2:D246),"")</f>
        <v/>
      </c>
      <c r="C246" s="14">
        <f t="shared" si="10"/>
        <v>40</v>
      </c>
      <c r="D246" s="17"/>
      <c r="E246" s="16"/>
      <c r="F246" s="17" t="s">
        <v>250</v>
      </c>
      <c r="G246" s="14"/>
      <c r="H246" s="14"/>
      <c r="I246" s="4" t="str">
        <f t="shared" si="11"/>
        <v/>
      </c>
    </row>
    <row r="247" spans="2:9" outlineLevel="1" x14ac:dyDescent="0.35">
      <c r="B247" s="14" t="str">
        <f>IF(D247&lt;&gt;"",COUNTA(D$2:D247),"")</f>
        <v/>
      </c>
      <c r="C247" s="14">
        <f t="shared" si="10"/>
        <v>40</v>
      </c>
      <c r="D247" s="17"/>
      <c r="E247" s="16"/>
      <c r="F247" s="17" t="s">
        <v>251</v>
      </c>
      <c r="G247" s="14"/>
      <c r="H247" s="14"/>
      <c r="I247" s="4" t="str">
        <f t="shared" si="11"/>
        <v/>
      </c>
    </row>
    <row r="248" spans="2:9" ht="36" customHeight="1" outlineLevel="1" x14ac:dyDescent="0.35">
      <c r="B248" s="14" t="str">
        <f>IF(D248&lt;&gt;"",COUNTA(D$2:D248),"")</f>
        <v/>
      </c>
      <c r="C248" s="14">
        <f t="shared" si="10"/>
        <v>40</v>
      </c>
      <c r="D248" s="17"/>
      <c r="E248" s="16"/>
      <c r="F248" s="17" t="s">
        <v>252</v>
      </c>
      <c r="G248" s="14"/>
      <c r="H248" s="14"/>
      <c r="I248" s="4" t="str">
        <f t="shared" si="11"/>
        <v/>
      </c>
    </row>
    <row r="249" spans="2:9" ht="72" customHeight="1" outlineLevel="1" x14ac:dyDescent="0.35">
      <c r="B249" s="14">
        <f>IF(D249&lt;&gt;"",COUNTA(D$2:D249),"")</f>
        <v>41</v>
      </c>
      <c r="C249" s="14">
        <f t="shared" si="10"/>
        <v>41</v>
      </c>
      <c r="D249" s="17" t="s">
        <v>253</v>
      </c>
      <c r="E249" s="16" t="s">
        <v>202</v>
      </c>
      <c r="F249" s="17"/>
      <c r="G249" s="14" t="str">
        <f>IF(ISBLANK(F249),"B","")</f>
        <v>B</v>
      </c>
      <c r="H249" s="14" t="str">
        <f>IF(OR(I249="",I249=-1),"",IF(I249&lt;4,"Đơn giản",IF(I249&lt;8,"Trung bình","Phức tạp")))</f>
        <v>Trung bình</v>
      </c>
      <c r="I249" s="4">
        <f t="shared" si="11"/>
        <v>5</v>
      </c>
    </row>
    <row r="250" spans="2:9" ht="36" customHeight="1" outlineLevel="1" x14ac:dyDescent="0.35">
      <c r="B250" s="14" t="str">
        <f>IF(D250&lt;&gt;"",COUNTA(D$2:D250),"")</f>
        <v/>
      </c>
      <c r="C250" s="14">
        <f t="shared" si="10"/>
        <v>41</v>
      </c>
      <c r="D250" s="17"/>
      <c r="E250" s="16"/>
      <c r="F250" s="17" t="s">
        <v>254</v>
      </c>
      <c r="G250" s="14"/>
      <c r="H250" s="14"/>
      <c r="I250" s="4" t="str">
        <f t="shared" si="11"/>
        <v/>
      </c>
    </row>
    <row r="251" spans="2:9" outlineLevel="1" x14ac:dyDescent="0.35">
      <c r="B251" s="14" t="str">
        <f>IF(D251&lt;&gt;"",COUNTA(D$2:D251),"")</f>
        <v/>
      </c>
      <c r="C251" s="14">
        <f t="shared" si="10"/>
        <v>41</v>
      </c>
      <c r="D251" s="17"/>
      <c r="E251" s="16"/>
      <c r="F251" s="17" t="s">
        <v>255</v>
      </c>
      <c r="G251" s="14"/>
      <c r="H251" s="14"/>
      <c r="I251" s="4" t="str">
        <f t="shared" si="11"/>
        <v/>
      </c>
    </row>
    <row r="252" spans="2:9" outlineLevel="1" x14ac:dyDescent="0.35">
      <c r="B252" s="14" t="str">
        <f>IF(D252&lt;&gt;"",COUNTA(D$2:D252),"")</f>
        <v/>
      </c>
      <c r="C252" s="14">
        <f t="shared" si="10"/>
        <v>41</v>
      </c>
      <c r="D252" s="17"/>
      <c r="E252" s="16"/>
      <c r="F252" s="17" t="s">
        <v>256</v>
      </c>
      <c r="G252" s="14"/>
      <c r="H252" s="14"/>
      <c r="I252" s="4" t="str">
        <f t="shared" si="11"/>
        <v/>
      </c>
    </row>
    <row r="253" spans="2:9" outlineLevel="1" x14ac:dyDescent="0.35">
      <c r="B253" s="14" t="str">
        <f>IF(D253&lt;&gt;"",COUNTA(D$2:D253),"")</f>
        <v/>
      </c>
      <c r="C253" s="14">
        <f t="shared" si="10"/>
        <v>41</v>
      </c>
      <c r="D253" s="17"/>
      <c r="E253" s="16"/>
      <c r="F253" s="17" t="s">
        <v>257</v>
      </c>
      <c r="G253" s="14"/>
      <c r="H253" s="14"/>
      <c r="I253" s="4" t="str">
        <f t="shared" si="11"/>
        <v/>
      </c>
    </row>
    <row r="254" spans="2:9" ht="36" customHeight="1" outlineLevel="1" x14ac:dyDescent="0.35">
      <c r="B254" s="14" t="str">
        <f>IF(D254&lt;&gt;"",COUNTA(D$2:D254),"")</f>
        <v/>
      </c>
      <c r="C254" s="14">
        <f t="shared" si="10"/>
        <v>41</v>
      </c>
      <c r="D254" s="17"/>
      <c r="E254" s="16"/>
      <c r="F254" s="17" t="s">
        <v>258</v>
      </c>
      <c r="G254" s="14"/>
      <c r="H254" s="14"/>
      <c r="I254" s="4" t="str">
        <f t="shared" si="11"/>
        <v/>
      </c>
    </row>
    <row r="255" spans="2:9" ht="72" customHeight="1" outlineLevel="1" x14ac:dyDescent="0.35">
      <c r="B255" s="14">
        <f>IF(D255&lt;&gt;"",COUNTA(D$2:D255),"")</f>
        <v>42</v>
      </c>
      <c r="C255" s="14">
        <f t="shared" si="10"/>
        <v>42</v>
      </c>
      <c r="D255" s="17" t="s">
        <v>259</v>
      </c>
      <c r="E255" s="16" t="s">
        <v>202</v>
      </c>
      <c r="F255" s="17"/>
      <c r="G255" s="14" t="str">
        <f>IF(ISBLANK(F255),"B","")</f>
        <v>B</v>
      </c>
      <c r="H255" s="14" t="str">
        <f>IF(OR(I255="",I255=-1),"",IF(I255&lt;4,"Đơn giản",IF(I255&lt;8,"Trung bình","Phức tạp")))</f>
        <v>Đơn giản</v>
      </c>
      <c r="I255" s="4">
        <f t="shared" si="11"/>
        <v>3</v>
      </c>
    </row>
    <row r="256" spans="2:9" ht="54" customHeight="1" outlineLevel="1" x14ac:dyDescent="0.35">
      <c r="B256" s="14" t="str">
        <f>IF(D256&lt;&gt;"",COUNTA(D$2:D256),"")</f>
        <v/>
      </c>
      <c r="C256" s="14">
        <f t="shared" si="10"/>
        <v>42</v>
      </c>
      <c r="D256" s="17"/>
      <c r="E256" s="16"/>
      <c r="F256" s="17" t="s">
        <v>260</v>
      </c>
      <c r="G256" s="14"/>
      <c r="H256" s="14"/>
      <c r="I256" s="4" t="str">
        <f t="shared" si="11"/>
        <v/>
      </c>
    </row>
    <row r="257" spans="2:9" ht="36" customHeight="1" outlineLevel="1" x14ac:dyDescent="0.35">
      <c r="B257" s="14" t="str">
        <f>IF(D257&lt;&gt;"",COUNTA(D$2:D257),"")</f>
        <v/>
      </c>
      <c r="C257" s="14">
        <f t="shared" ref="C257:C309" si="12">IF(B257="",C256,B257)</f>
        <v>42</v>
      </c>
      <c r="D257" s="17"/>
      <c r="E257" s="16"/>
      <c r="F257" s="17" t="s">
        <v>261</v>
      </c>
      <c r="G257" s="14"/>
      <c r="H257" s="14"/>
      <c r="I257" s="4" t="str">
        <f t="shared" ref="I257:I309" si="13">IF(B257="","", COUNTIF($C:$C,B257)-1)</f>
        <v/>
      </c>
    </row>
    <row r="258" spans="2:9" ht="54" customHeight="1" outlineLevel="1" x14ac:dyDescent="0.35">
      <c r="B258" s="14" t="str">
        <f>IF(D258&lt;&gt;"",COUNTA(D$2:D258),"")</f>
        <v/>
      </c>
      <c r="C258" s="14">
        <f t="shared" si="12"/>
        <v>42</v>
      </c>
      <c r="D258" s="17"/>
      <c r="E258" s="16"/>
      <c r="F258" s="17" t="s">
        <v>262</v>
      </c>
      <c r="G258" s="14"/>
      <c r="H258" s="14"/>
      <c r="I258" s="4" t="str">
        <f t="shared" si="13"/>
        <v/>
      </c>
    </row>
    <row r="259" spans="2:9" ht="36" customHeight="1" outlineLevel="1" x14ac:dyDescent="0.35">
      <c r="B259" s="14">
        <f>IF(D259&lt;&gt;"",COUNTA(D$2:D259),"")</f>
        <v>43</v>
      </c>
      <c r="C259" s="14">
        <f t="shared" si="12"/>
        <v>43</v>
      </c>
      <c r="D259" s="17" t="s">
        <v>263</v>
      </c>
      <c r="E259" s="16" t="s">
        <v>264</v>
      </c>
      <c r="F259" s="17"/>
      <c r="G259" s="14" t="str">
        <f>IF(ISBLANK(F259),"B","")</f>
        <v>B</v>
      </c>
      <c r="H259" s="14" t="str">
        <f>IF(OR(I259="",I259=-1),"",IF(I259&lt;4,"Đơn giản",IF(I259&lt;8,"Trung bình","Phức tạp")))</f>
        <v>Đơn giản</v>
      </c>
      <c r="I259" s="4">
        <f t="shared" si="13"/>
        <v>3</v>
      </c>
    </row>
    <row r="260" spans="2:9" ht="36" customHeight="1" outlineLevel="1" x14ac:dyDescent="0.35">
      <c r="B260" s="14" t="str">
        <f>IF(D260&lt;&gt;"",COUNTA(D$2:D260),"")</f>
        <v/>
      </c>
      <c r="C260" s="14">
        <f t="shared" si="12"/>
        <v>43</v>
      </c>
      <c r="D260" s="17"/>
      <c r="E260" s="16"/>
      <c r="F260" s="17" t="s">
        <v>265</v>
      </c>
      <c r="G260" s="14"/>
      <c r="H260" s="14"/>
      <c r="I260" s="4" t="str">
        <f t="shared" si="13"/>
        <v/>
      </c>
    </row>
    <row r="261" spans="2:9" outlineLevel="1" x14ac:dyDescent="0.35">
      <c r="B261" s="14" t="str">
        <f>IF(D261&lt;&gt;"",COUNTA(D$2:D261),"")</f>
        <v/>
      </c>
      <c r="C261" s="14">
        <f t="shared" si="12"/>
        <v>43</v>
      </c>
      <c r="D261" s="17"/>
      <c r="E261" s="16"/>
      <c r="F261" s="17" t="s">
        <v>266</v>
      </c>
      <c r="G261" s="14"/>
      <c r="H261" s="14"/>
      <c r="I261" s="4" t="str">
        <f t="shared" si="13"/>
        <v/>
      </c>
    </row>
    <row r="262" spans="2:9" ht="36" customHeight="1" outlineLevel="1" x14ac:dyDescent="0.35">
      <c r="B262" s="14" t="str">
        <f>IF(D262&lt;&gt;"",COUNTA(D$2:D262),"")</f>
        <v/>
      </c>
      <c r="C262" s="14">
        <f t="shared" si="12"/>
        <v>43</v>
      </c>
      <c r="D262" s="17"/>
      <c r="E262" s="16"/>
      <c r="F262" s="17" t="s">
        <v>267</v>
      </c>
      <c r="G262" s="14"/>
      <c r="H262" s="14"/>
      <c r="I262" s="4" t="str">
        <f t="shared" si="13"/>
        <v/>
      </c>
    </row>
    <row r="263" spans="2:9" ht="198" customHeight="1" outlineLevel="1" x14ac:dyDescent="0.4">
      <c r="B263" s="14">
        <f>IF(D263&lt;&gt;"",COUNTA(D$2:D263),"")</f>
        <v>44</v>
      </c>
      <c r="C263" s="14">
        <f t="shared" si="12"/>
        <v>44</v>
      </c>
      <c r="D263" s="19" t="s">
        <v>268</v>
      </c>
      <c r="E263" s="19" t="s">
        <v>269</v>
      </c>
      <c r="F263" s="17"/>
      <c r="G263" s="14" t="str">
        <f>IF(ISBLANK(F263),"B","")</f>
        <v>B</v>
      </c>
      <c r="H263" s="14" t="str">
        <f>IF(OR(I263="",I263=-1),"",IF(I263&lt;4,"Đơn giản",IF(I263&lt;8,"Trung bình","Phức tạp")))</f>
        <v>Trung bình</v>
      </c>
      <c r="I263" s="4">
        <f t="shared" si="13"/>
        <v>5</v>
      </c>
    </row>
    <row r="264" spans="2:9" ht="36" customHeight="1" outlineLevel="1" x14ac:dyDescent="0.4">
      <c r="B264" s="14" t="str">
        <f>IF(D264&lt;&gt;"",COUNTA(D$2:D264),"")</f>
        <v/>
      </c>
      <c r="C264" s="14">
        <f t="shared" si="12"/>
        <v>44</v>
      </c>
      <c r="D264" s="19"/>
      <c r="E264" s="19"/>
      <c r="F264" s="17" t="s">
        <v>270</v>
      </c>
      <c r="G264" s="14"/>
      <c r="H264" s="14"/>
      <c r="I264" s="4" t="str">
        <f t="shared" si="13"/>
        <v/>
      </c>
    </row>
    <row r="265" spans="2:9" ht="36" customHeight="1" outlineLevel="1" x14ac:dyDescent="0.4">
      <c r="B265" s="14" t="str">
        <f>IF(D265&lt;&gt;"",COUNTA(D$2:D265),"")</f>
        <v/>
      </c>
      <c r="C265" s="14">
        <f t="shared" si="12"/>
        <v>44</v>
      </c>
      <c r="D265" s="19"/>
      <c r="E265" s="19"/>
      <c r="F265" s="17" t="s">
        <v>271</v>
      </c>
      <c r="G265" s="14"/>
      <c r="H265" s="14"/>
      <c r="I265" s="4" t="str">
        <f t="shared" si="13"/>
        <v/>
      </c>
    </row>
    <row r="266" spans="2:9" ht="36" customHeight="1" outlineLevel="1" x14ac:dyDescent="0.4">
      <c r="B266" s="14" t="str">
        <f>IF(D266&lt;&gt;"",COUNTA(D$2:D266),"")</f>
        <v/>
      </c>
      <c r="C266" s="14">
        <f t="shared" si="12"/>
        <v>44</v>
      </c>
      <c r="D266" s="19"/>
      <c r="E266" s="19"/>
      <c r="F266" s="17" t="s">
        <v>272</v>
      </c>
      <c r="G266" s="14"/>
      <c r="H266" s="14"/>
      <c r="I266" s="4" t="str">
        <f t="shared" si="13"/>
        <v/>
      </c>
    </row>
    <row r="267" spans="2:9" ht="36" customHeight="1" outlineLevel="1" x14ac:dyDescent="0.4">
      <c r="B267" s="14" t="str">
        <f>IF(D267&lt;&gt;"",COUNTA(D$2:D267),"")</f>
        <v/>
      </c>
      <c r="C267" s="14">
        <f t="shared" si="12"/>
        <v>44</v>
      </c>
      <c r="D267" s="19"/>
      <c r="E267" s="19"/>
      <c r="F267" s="17" t="s">
        <v>273</v>
      </c>
      <c r="G267" s="14"/>
      <c r="H267" s="14"/>
      <c r="I267" s="4" t="str">
        <f t="shared" si="13"/>
        <v/>
      </c>
    </row>
    <row r="268" spans="2:9" ht="36" customHeight="1" outlineLevel="1" x14ac:dyDescent="0.4">
      <c r="B268" s="14" t="str">
        <f>IF(D268&lt;&gt;"",COUNTA(D$2:D268),"")</f>
        <v/>
      </c>
      <c r="C268" s="14">
        <f t="shared" si="12"/>
        <v>44</v>
      </c>
      <c r="D268" s="19"/>
      <c r="E268" s="19"/>
      <c r="F268" s="17" t="s">
        <v>274</v>
      </c>
      <c r="G268" s="14"/>
      <c r="H268" s="14"/>
      <c r="I268" s="4" t="str">
        <f t="shared" si="13"/>
        <v/>
      </c>
    </row>
    <row r="269" spans="2:9" ht="54" customHeight="1" outlineLevel="1" x14ac:dyDescent="0.35">
      <c r="B269" s="14">
        <f>IF(D269&lt;&gt;"",COUNTA(D$2:D269),"")</f>
        <v>45</v>
      </c>
      <c r="C269" s="14">
        <f t="shared" si="12"/>
        <v>45</v>
      </c>
      <c r="D269" s="17" t="s">
        <v>275</v>
      </c>
      <c r="E269" s="16" t="s">
        <v>276</v>
      </c>
      <c r="F269" s="17"/>
      <c r="G269" s="14" t="str">
        <f>IF(ISBLANK(F269),"B","")</f>
        <v>B</v>
      </c>
      <c r="H269" s="14" t="str">
        <f>IF(OR(I269="",I269=-1),"",IF(I269&lt;4,"Đơn giản",IF(I269&lt;8,"Trung bình","Phức tạp")))</f>
        <v>Trung bình</v>
      </c>
      <c r="I269" s="4">
        <f t="shared" si="13"/>
        <v>6</v>
      </c>
    </row>
    <row r="270" spans="2:9" outlineLevel="1" x14ac:dyDescent="0.35">
      <c r="B270" s="14" t="str">
        <f>IF(D270&lt;&gt;"",COUNTA(D$2:D270),"")</f>
        <v/>
      </c>
      <c r="C270" s="14">
        <f t="shared" si="12"/>
        <v>45</v>
      </c>
      <c r="D270" s="17"/>
      <c r="E270" s="16"/>
      <c r="F270" s="17" t="s">
        <v>277</v>
      </c>
      <c r="G270" s="14"/>
      <c r="H270" s="14"/>
      <c r="I270" s="4" t="str">
        <f t="shared" si="13"/>
        <v/>
      </c>
    </row>
    <row r="271" spans="2:9" ht="108" customHeight="1" outlineLevel="1" x14ac:dyDescent="0.35">
      <c r="B271" s="14" t="str">
        <f>IF(D271&lt;&gt;"",COUNTA(D$2:D271),"")</f>
        <v/>
      </c>
      <c r="C271" s="14">
        <f t="shared" si="12"/>
        <v>45</v>
      </c>
      <c r="D271" s="17"/>
      <c r="E271" s="16"/>
      <c r="F271" s="17" t="s">
        <v>278</v>
      </c>
      <c r="G271" s="14"/>
      <c r="H271" s="14"/>
      <c r="I271" s="4" t="str">
        <f t="shared" si="13"/>
        <v/>
      </c>
    </row>
    <row r="272" spans="2:9" ht="36" customHeight="1" outlineLevel="1" x14ac:dyDescent="0.35">
      <c r="B272" s="14" t="str">
        <f>IF(D272&lt;&gt;"",COUNTA(D$2:D272),"")</f>
        <v/>
      </c>
      <c r="C272" s="14">
        <f t="shared" si="12"/>
        <v>45</v>
      </c>
      <c r="D272" s="17"/>
      <c r="E272" s="16"/>
      <c r="F272" s="17" t="s">
        <v>279</v>
      </c>
      <c r="G272" s="14"/>
      <c r="H272" s="14"/>
      <c r="I272" s="4" t="str">
        <f t="shared" si="13"/>
        <v/>
      </c>
    </row>
    <row r="273" spans="2:9" ht="54" customHeight="1" outlineLevel="1" x14ac:dyDescent="0.35">
      <c r="B273" s="14" t="str">
        <f>IF(D273&lt;&gt;"",COUNTA(D$2:D273),"")</f>
        <v/>
      </c>
      <c r="C273" s="14">
        <f t="shared" si="12"/>
        <v>45</v>
      </c>
      <c r="D273" s="17"/>
      <c r="E273" s="16"/>
      <c r="F273" s="17" t="s">
        <v>280</v>
      </c>
      <c r="G273" s="14"/>
      <c r="H273" s="14"/>
      <c r="I273" s="4" t="str">
        <f t="shared" si="13"/>
        <v/>
      </c>
    </row>
    <row r="274" spans="2:9" ht="36" customHeight="1" outlineLevel="1" x14ac:dyDescent="0.35">
      <c r="B274" s="14" t="str">
        <f>IF(D274&lt;&gt;"",COUNTA(D$2:D274),"")</f>
        <v/>
      </c>
      <c r="C274" s="14">
        <f t="shared" si="12"/>
        <v>45</v>
      </c>
      <c r="D274" s="17"/>
      <c r="E274" s="16"/>
      <c r="F274" s="17" t="s">
        <v>281</v>
      </c>
      <c r="G274" s="14"/>
      <c r="H274" s="14"/>
      <c r="I274" s="4" t="str">
        <f t="shared" si="13"/>
        <v/>
      </c>
    </row>
    <row r="275" spans="2:9" ht="36" customHeight="1" outlineLevel="1" x14ac:dyDescent="0.35">
      <c r="B275" s="14" t="str">
        <f>IF(D275&lt;&gt;"",COUNTA(D$2:D275),"")</f>
        <v/>
      </c>
      <c r="C275" s="14">
        <f t="shared" si="12"/>
        <v>45</v>
      </c>
      <c r="D275" s="17"/>
      <c r="E275" s="16"/>
      <c r="F275" s="17" t="s">
        <v>282</v>
      </c>
      <c r="G275" s="14"/>
      <c r="H275" s="14"/>
      <c r="I275" s="4" t="str">
        <f t="shared" si="13"/>
        <v/>
      </c>
    </row>
    <row r="276" spans="2:9" ht="126" customHeight="1" outlineLevel="1" x14ac:dyDescent="0.4">
      <c r="B276" s="14">
        <f>IF(D276&lt;&gt;"",COUNTA(D$2:D276),"")</f>
        <v>46</v>
      </c>
      <c r="C276" s="14">
        <f t="shared" si="12"/>
        <v>46</v>
      </c>
      <c r="D276" s="19" t="s">
        <v>283</v>
      </c>
      <c r="E276" s="19" t="s">
        <v>284</v>
      </c>
      <c r="F276" s="17"/>
      <c r="G276" s="14" t="str">
        <f>IF(ISBLANK(F276),"B","")</f>
        <v>B</v>
      </c>
      <c r="H276" s="14" t="str">
        <f>IF(OR(I276="",I276=-1),"",IF(I276&lt;4,"Đơn giản",IF(I276&lt;8,"Trung bình","Phức tạp")))</f>
        <v>Trung bình</v>
      </c>
      <c r="I276" s="4">
        <f t="shared" si="13"/>
        <v>5</v>
      </c>
    </row>
    <row r="277" spans="2:9" ht="54" customHeight="1" outlineLevel="1" x14ac:dyDescent="0.4">
      <c r="B277" s="14" t="str">
        <f>IF(D277&lt;&gt;"",COUNTA(D$2:D277),"")</f>
        <v/>
      </c>
      <c r="C277" s="14">
        <f t="shared" si="12"/>
        <v>46</v>
      </c>
      <c r="D277" s="19"/>
      <c r="E277" s="19"/>
      <c r="F277" s="17" t="s">
        <v>285</v>
      </c>
      <c r="G277" s="14"/>
      <c r="H277" s="14"/>
      <c r="I277" s="4" t="str">
        <f t="shared" si="13"/>
        <v/>
      </c>
    </row>
    <row r="278" spans="2:9" ht="54" customHeight="1" outlineLevel="1" x14ac:dyDescent="0.4">
      <c r="B278" s="14" t="str">
        <f>IF(D278&lt;&gt;"",COUNTA(D$2:D278),"")</f>
        <v/>
      </c>
      <c r="C278" s="14">
        <f t="shared" si="12"/>
        <v>46</v>
      </c>
      <c r="D278" s="19"/>
      <c r="E278" s="19"/>
      <c r="F278" s="17" t="s">
        <v>286</v>
      </c>
      <c r="G278" s="14"/>
      <c r="H278" s="14"/>
      <c r="I278" s="4" t="str">
        <f t="shared" si="13"/>
        <v/>
      </c>
    </row>
    <row r="279" spans="2:9" ht="36" customHeight="1" outlineLevel="1" x14ac:dyDescent="0.4">
      <c r="B279" s="14" t="str">
        <f>IF(D279&lt;&gt;"",COUNTA(D$2:D279),"")</f>
        <v/>
      </c>
      <c r="C279" s="14">
        <f t="shared" si="12"/>
        <v>46</v>
      </c>
      <c r="D279" s="19"/>
      <c r="E279" s="19"/>
      <c r="F279" s="17" t="s">
        <v>287</v>
      </c>
      <c r="G279" s="14"/>
      <c r="H279" s="14"/>
      <c r="I279" s="4" t="str">
        <f t="shared" si="13"/>
        <v/>
      </c>
    </row>
    <row r="280" spans="2:9" ht="54" customHeight="1" outlineLevel="1" x14ac:dyDescent="0.4">
      <c r="B280" s="14" t="str">
        <f>IF(D280&lt;&gt;"",COUNTA(D$2:D280),"")</f>
        <v/>
      </c>
      <c r="C280" s="14">
        <f t="shared" si="12"/>
        <v>46</v>
      </c>
      <c r="D280" s="19"/>
      <c r="E280" s="19"/>
      <c r="F280" s="17" t="s">
        <v>288</v>
      </c>
      <c r="G280" s="14"/>
      <c r="H280" s="14"/>
      <c r="I280" s="4" t="str">
        <f t="shared" si="13"/>
        <v/>
      </c>
    </row>
    <row r="281" spans="2:9" ht="54" customHeight="1" outlineLevel="1" x14ac:dyDescent="0.4">
      <c r="B281" s="14" t="str">
        <f>IF(D281&lt;&gt;"",COUNTA(D$2:D281),"")</f>
        <v/>
      </c>
      <c r="C281" s="14">
        <f t="shared" si="12"/>
        <v>46</v>
      </c>
      <c r="D281" s="19"/>
      <c r="E281" s="19"/>
      <c r="F281" s="17" t="s">
        <v>289</v>
      </c>
      <c r="G281" s="14"/>
      <c r="H281" s="14"/>
      <c r="I281" s="4" t="str">
        <f t="shared" si="13"/>
        <v/>
      </c>
    </row>
    <row r="282" spans="2:9" ht="162" customHeight="1" outlineLevel="1" x14ac:dyDescent="0.4">
      <c r="B282" s="14">
        <f>IF(D282&lt;&gt;"",COUNTA(D$2:D282),"")</f>
        <v>47</v>
      </c>
      <c r="C282" s="14">
        <f t="shared" si="12"/>
        <v>47</v>
      </c>
      <c r="D282" s="19" t="s">
        <v>290</v>
      </c>
      <c r="E282" s="19" t="s">
        <v>291</v>
      </c>
      <c r="F282" s="19"/>
      <c r="G282" s="14" t="str">
        <f>IF(ISBLANK(F282),"B","")</f>
        <v>B</v>
      </c>
      <c r="H282" s="14" t="str">
        <f>IF(OR(I282="",I282=-1),"",IF(I282&lt;4,"Đơn giản",IF(I282&lt;8,"Trung bình","Phức tạp")))</f>
        <v>Phức tạp</v>
      </c>
      <c r="I282" s="4">
        <f t="shared" si="13"/>
        <v>9</v>
      </c>
    </row>
    <row r="283" spans="2:9" ht="36" customHeight="1" outlineLevel="1" x14ac:dyDescent="0.4">
      <c r="B283" s="14" t="str">
        <f>IF(D283&lt;&gt;"",COUNTA(D$2:D283),"")</f>
        <v/>
      </c>
      <c r="C283" s="14">
        <f t="shared" si="12"/>
        <v>47</v>
      </c>
      <c r="D283" s="19"/>
      <c r="E283" s="19"/>
      <c r="F283" s="19" t="s">
        <v>292</v>
      </c>
      <c r="G283" s="14"/>
      <c r="H283" s="14"/>
      <c r="I283" s="4" t="str">
        <f t="shared" si="13"/>
        <v/>
      </c>
    </row>
    <row r="284" spans="2:9" ht="36" customHeight="1" outlineLevel="1" x14ac:dyDescent="0.4">
      <c r="B284" s="14" t="str">
        <f>IF(D284&lt;&gt;"",COUNTA(D$2:D284),"")</f>
        <v/>
      </c>
      <c r="C284" s="14">
        <f t="shared" si="12"/>
        <v>47</v>
      </c>
      <c r="D284" s="19"/>
      <c r="E284" s="19"/>
      <c r="F284" s="19" t="s">
        <v>293</v>
      </c>
      <c r="G284" s="14"/>
      <c r="H284" s="14"/>
      <c r="I284" s="4" t="str">
        <f t="shared" si="13"/>
        <v/>
      </c>
    </row>
    <row r="285" spans="2:9" ht="36" customHeight="1" outlineLevel="1" x14ac:dyDescent="0.4">
      <c r="B285" s="14" t="str">
        <f>IF(D285&lt;&gt;"",COUNTA(D$2:D285),"")</f>
        <v/>
      </c>
      <c r="C285" s="14">
        <f t="shared" si="12"/>
        <v>47</v>
      </c>
      <c r="D285" s="19"/>
      <c r="E285" s="19"/>
      <c r="F285" s="19" t="s">
        <v>294</v>
      </c>
      <c r="G285" s="14"/>
      <c r="H285" s="14"/>
      <c r="I285" s="4" t="str">
        <f t="shared" si="13"/>
        <v/>
      </c>
    </row>
    <row r="286" spans="2:9" ht="36" customHeight="1" outlineLevel="1" x14ac:dyDescent="0.4">
      <c r="B286" s="14" t="str">
        <f>IF(D286&lt;&gt;"",COUNTA(D$2:D286),"")</f>
        <v/>
      </c>
      <c r="C286" s="14">
        <f t="shared" si="12"/>
        <v>47</v>
      </c>
      <c r="D286" s="19"/>
      <c r="E286" s="19"/>
      <c r="F286" s="19" t="s">
        <v>295</v>
      </c>
      <c r="G286" s="14"/>
      <c r="H286" s="14"/>
      <c r="I286" s="4" t="str">
        <f t="shared" si="13"/>
        <v/>
      </c>
    </row>
    <row r="287" spans="2:9" ht="36" customHeight="1" outlineLevel="1" x14ac:dyDescent="0.4">
      <c r="B287" s="14" t="str">
        <f>IF(D287&lt;&gt;"",COUNTA(D$2:D287),"")</f>
        <v/>
      </c>
      <c r="C287" s="14">
        <f t="shared" si="12"/>
        <v>47</v>
      </c>
      <c r="D287" s="19"/>
      <c r="E287" s="19"/>
      <c r="F287" s="19" t="s">
        <v>296</v>
      </c>
      <c r="G287" s="14"/>
      <c r="H287" s="14"/>
      <c r="I287" s="4" t="str">
        <f t="shared" si="13"/>
        <v/>
      </c>
    </row>
    <row r="288" spans="2:9" ht="36" customHeight="1" outlineLevel="1" x14ac:dyDescent="0.4">
      <c r="B288" s="14" t="str">
        <f>IF(D288&lt;&gt;"",COUNTA(D$2:D288),"")</f>
        <v/>
      </c>
      <c r="C288" s="14">
        <f t="shared" si="12"/>
        <v>47</v>
      </c>
      <c r="D288" s="19"/>
      <c r="E288" s="19"/>
      <c r="F288" s="19" t="s">
        <v>297</v>
      </c>
      <c r="G288" s="14"/>
      <c r="H288" s="14"/>
      <c r="I288" s="4" t="str">
        <f t="shared" si="13"/>
        <v/>
      </c>
    </row>
    <row r="289" spans="2:9" ht="36" customHeight="1" outlineLevel="1" x14ac:dyDescent="0.4">
      <c r="B289" s="14" t="str">
        <f>IF(D289&lt;&gt;"",COUNTA(D$2:D289),"")</f>
        <v/>
      </c>
      <c r="C289" s="14">
        <f t="shared" si="12"/>
        <v>47</v>
      </c>
      <c r="D289" s="19"/>
      <c r="E289" s="19"/>
      <c r="F289" s="19" t="s">
        <v>298</v>
      </c>
      <c r="G289" s="14"/>
      <c r="H289" s="14"/>
      <c r="I289" s="4" t="str">
        <f t="shared" si="13"/>
        <v/>
      </c>
    </row>
    <row r="290" spans="2:9" ht="36" customHeight="1" outlineLevel="1" x14ac:dyDescent="0.4">
      <c r="B290" s="14" t="str">
        <f>IF(D290&lt;&gt;"",COUNTA(D$2:D290),"")</f>
        <v/>
      </c>
      <c r="C290" s="14">
        <f t="shared" si="12"/>
        <v>47</v>
      </c>
      <c r="D290" s="19"/>
      <c r="E290" s="19"/>
      <c r="F290" s="19" t="s">
        <v>299</v>
      </c>
      <c r="G290" s="14"/>
      <c r="H290" s="14"/>
      <c r="I290" s="4" t="str">
        <f t="shared" si="13"/>
        <v/>
      </c>
    </row>
    <row r="291" spans="2:9" ht="36" customHeight="1" outlineLevel="1" x14ac:dyDescent="0.4">
      <c r="B291" s="14" t="str">
        <f>IF(D291&lt;&gt;"",COUNTA(D$2:D291),"")</f>
        <v/>
      </c>
      <c r="C291" s="14">
        <f t="shared" si="12"/>
        <v>47</v>
      </c>
      <c r="D291" s="19"/>
      <c r="E291" s="19"/>
      <c r="F291" s="19" t="s">
        <v>300</v>
      </c>
      <c r="G291" s="14"/>
      <c r="H291" s="14"/>
      <c r="I291" s="4" t="str">
        <f t="shared" si="13"/>
        <v/>
      </c>
    </row>
    <row r="292" spans="2:9" ht="162" customHeight="1" outlineLevel="1" x14ac:dyDescent="0.4">
      <c r="B292" s="14">
        <f>IF(D292&lt;&gt;"",COUNTA(D$2:D292),"")</f>
        <v>48</v>
      </c>
      <c r="C292" s="14">
        <f t="shared" si="12"/>
        <v>48</v>
      </c>
      <c r="D292" s="19" t="s">
        <v>301</v>
      </c>
      <c r="E292" s="19" t="s">
        <v>291</v>
      </c>
      <c r="F292" s="19"/>
      <c r="G292" s="14" t="str">
        <f>IF(ISBLANK(F292),"B","")</f>
        <v>B</v>
      </c>
      <c r="H292" s="14" t="str">
        <f>IF(OR(I292="",I292=-1),"",IF(I292&lt;4,"Đơn giản",IF(I292&lt;8,"Trung bình","Phức tạp")))</f>
        <v>Phức tạp</v>
      </c>
      <c r="I292" s="4">
        <f t="shared" si="13"/>
        <v>10</v>
      </c>
    </row>
    <row r="293" spans="2:9" ht="54" customHeight="1" outlineLevel="1" x14ac:dyDescent="0.4">
      <c r="B293" s="14" t="str">
        <f>IF(D293&lt;&gt;"",COUNTA(D$2:D293),"")</f>
        <v/>
      </c>
      <c r="C293" s="14">
        <f t="shared" si="12"/>
        <v>48</v>
      </c>
      <c r="D293" s="19"/>
      <c r="E293" s="19"/>
      <c r="F293" s="19" t="s">
        <v>302</v>
      </c>
      <c r="G293" s="14"/>
      <c r="H293" s="14"/>
      <c r="I293" s="4" t="str">
        <f t="shared" si="13"/>
        <v/>
      </c>
    </row>
    <row r="294" spans="2:9" ht="54" customHeight="1" outlineLevel="1" x14ac:dyDescent="0.4">
      <c r="B294" s="14" t="str">
        <f>IF(D294&lt;&gt;"",COUNTA(D$2:D294),"")</f>
        <v/>
      </c>
      <c r="C294" s="14">
        <f t="shared" si="12"/>
        <v>48</v>
      </c>
      <c r="D294" s="19"/>
      <c r="E294" s="19"/>
      <c r="F294" s="19" t="s">
        <v>303</v>
      </c>
      <c r="G294" s="14"/>
      <c r="H294" s="14"/>
      <c r="I294" s="4" t="str">
        <f t="shared" si="13"/>
        <v/>
      </c>
    </row>
    <row r="295" spans="2:9" ht="54" customHeight="1" outlineLevel="1" x14ac:dyDescent="0.4">
      <c r="B295" s="14" t="str">
        <f>IF(D295&lt;&gt;"",COUNTA(D$2:D295),"")</f>
        <v/>
      </c>
      <c r="C295" s="14">
        <f t="shared" si="12"/>
        <v>48</v>
      </c>
      <c r="D295" s="19"/>
      <c r="E295" s="19"/>
      <c r="F295" s="19" t="s">
        <v>304</v>
      </c>
      <c r="G295" s="14"/>
      <c r="H295" s="14"/>
      <c r="I295" s="4" t="str">
        <f t="shared" si="13"/>
        <v/>
      </c>
    </row>
    <row r="296" spans="2:9" ht="54" customHeight="1" outlineLevel="1" x14ac:dyDescent="0.4">
      <c r="B296" s="14" t="str">
        <f>IF(D296&lt;&gt;"",COUNTA(D$2:D296),"")</f>
        <v/>
      </c>
      <c r="C296" s="14">
        <f t="shared" si="12"/>
        <v>48</v>
      </c>
      <c r="D296" s="19"/>
      <c r="E296" s="19"/>
      <c r="F296" s="19" t="s">
        <v>305</v>
      </c>
      <c r="G296" s="14"/>
      <c r="H296" s="14"/>
      <c r="I296" s="4" t="str">
        <f t="shared" si="13"/>
        <v/>
      </c>
    </row>
    <row r="297" spans="2:9" ht="54" customHeight="1" outlineLevel="1" x14ac:dyDescent="0.4">
      <c r="B297" s="14" t="str">
        <f>IF(D297&lt;&gt;"",COUNTA(D$2:D297),"")</f>
        <v/>
      </c>
      <c r="C297" s="14">
        <f t="shared" si="12"/>
        <v>48</v>
      </c>
      <c r="D297" s="19"/>
      <c r="E297" s="19"/>
      <c r="F297" s="19" t="s">
        <v>306</v>
      </c>
      <c r="G297" s="14"/>
      <c r="H297" s="14"/>
      <c r="I297" s="4" t="str">
        <f t="shared" si="13"/>
        <v/>
      </c>
    </row>
    <row r="298" spans="2:9" ht="54" customHeight="1" outlineLevel="1" x14ac:dyDescent="0.4">
      <c r="B298" s="14" t="str">
        <f>IF(D298&lt;&gt;"",COUNTA(D$2:D298),"")</f>
        <v/>
      </c>
      <c r="C298" s="14">
        <f t="shared" si="12"/>
        <v>48</v>
      </c>
      <c r="D298" s="19"/>
      <c r="E298" s="19"/>
      <c r="F298" s="19" t="s">
        <v>307</v>
      </c>
      <c r="G298" s="14"/>
      <c r="H298" s="14"/>
      <c r="I298" s="4" t="str">
        <f t="shared" si="13"/>
        <v/>
      </c>
    </row>
    <row r="299" spans="2:9" ht="54" customHeight="1" outlineLevel="1" x14ac:dyDescent="0.4">
      <c r="B299" s="14" t="str">
        <f>IF(D299&lt;&gt;"",COUNTA(D$2:D299),"")</f>
        <v/>
      </c>
      <c r="C299" s="14">
        <f t="shared" si="12"/>
        <v>48</v>
      </c>
      <c r="D299" s="19"/>
      <c r="E299" s="19"/>
      <c r="F299" s="19" t="s">
        <v>308</v>
      </c>
      <c r="G299" s="14"/>
      <c r="H299" s="14"/>
      <c r="I299" s="4" t="str">
        <f t="shared" si="13"/>
        <v/>
      </c>
    </row>
    <row r="300" spans="2:9" ht="54" customHeight="1" outlineLevel="1" x14ac:dyDescent="0.4">
      <c r="B300" s="14" t="str">
        <f>IF(D300&lt;&gt;"",COUNTA(D$2:D300),"")</f>
        <v/>
      </c>
      <c r="C300" s="14">
        <f t="shared" si="12"/>
        <v>48</v>
      </c>
      <c r="D300" s="19"/>
      <c r="E300" s="19"/>
      <c r="F300" s="19" t="s">
        <v>309</v>
      </c>
      <c r="G300" s="14"/>
      <c r="H300" s="14"/>
      <c r="I300" s="4" t="str">
        <f t="shared" si="13"/>
        <v/>
      </c>
    </row>
    <row r="301" spans="2:9" ht="54" customHeight="1" outlineLevel="1" x14ac:dyDescent="0.4">
      <c r="B301" s="14" t="str">
        <f>IF(D301&lt;&gt;"",COUNTA(D$2:D301),"")</f>
        <v/>
      </c>
      <c r="C301" s="14">
        <f t="shared" si="12"/>
        <v>48</v>
      </c>
      <c r="D301" s="19"/>
      <c r="E301" s="19"/>
      <c r="F301" s="19" t="s">
        <v>310</v>
      </c>
      <c r="G301" s="14"/>
      <c r="H301" s="14"/>
      <c r="I301" s="4" t="str">
        <f t="shared" si="13"/>
        <v/>
      </c>
    </row>
    <row r="302" spans="2:9" ht="54" customHeight="1" outlineLevel="1" x14ac:dyDescent="0.4">
      <c r="B302" s="14" t="str">
        <f>IF(D302&lt;&gt;"",COUNTA(D$2:D302),"")</f>
        <v/>
      </c>
      <c r="C302" s="14">
        <f t="shared" si="12"/>
        <v>48</v>
      </c>
      <c r="D302" s="19"/>
      <c r="E302" s="19"/>
      <c r="F302" s="19" t="s">
        <v>311</v>
      </c>
      <c r="G302" s="14"/>
      <c r="H302" s="14"/>
      <c r="I302" s="4" t="str">
        <f t="shared" si="13"/>
        <v/>
      </c>
    </row>
    <row r="303" spans="2:9" ht="162" customHeight="1" outlineLevel="1" x14ac:dyDescent="0.4">
      <c r="B303" s="14">
        <f>IF(D303&lt;&gt;"",COUNTA(D$2:D303),"")</f>
        <v>49</v>
      </c>
      <c r="C303" s="14">
        <f t="shared" si="12"/>
        <v>49</v>
      </c>
      <c r="D303" s="19" t="s">
        <v>312</v>
      </c>
      <c r="E303" s="19" t="s">
        <v>291</v>
      </c>
      <c r="F303" s="19"/>
      <c r="G303" s="14" t="str">
        <f>IF(ISBLANK(F303),"B","")</f>
        <v>B</v>
      </c>
      <c r="H303" s="14" t="str">
        <f>IF(OR(I303="",I303=-1),"",IF(I303&lt;4,"Đơn giản",IF(I303&lt;8,"Trung bình","Phức tạp")))</f>
        <v>Đơn giản</v>
      </c>
      <c r="I303" s="4">
        <f t="shared" si="13"/>
        <v>3</v>
      </c>
    </row>
    <row r="304" spans="2:9" ht="36" customHeight="1" outlineLevel="1" x14ac:dyDescent="0.4">
      <c r="B304" s="14" t="str">
        <f>IF(D304&lt;&gt;"",COUNTA(D$2:D304),"")</f>
        <v/>
      </c>
      <c r="C304" s="14">
        <f t="shared" si="12"/>
        <v>49</v>
      </c>
      <c r="D304" s="19"/>
      <c r="E304" s="19"/>
      <c r="F304" s="19" t="s">
        <v>313</v>
      </c>
      <c r="G304" s="14"/>
      <c r="H304" s="14"/>
      <c r="I304" s="4" t="str">
        <f t="shared" si="13"/>
        <v/>
      </c>
    </row>
    <row r="305" spans="2:9" ht="36" customHeight="1" outlineLevel="1" x14ac:dyDescent="0.4">
      <c r="B305" s="14" t="str">
        <f>IF(D305&lt;&gt;"",COUNTA(D$2:D305),"")</f>
        <v/>
      </c>
      <c r="C305" s="14">
        <f t="shared" si="12"/>
        <v>49</v>
      </c>
      <c r="D305" s="19"/>
      <c r="E305" s="19"/>
      <c r="F305" s="19" t="s">
        <v>314</v>
      </c>
      <c r="G305" s="14"/>
      <c r="H305" s="14"/>
      <c r="I305" s="4" t="str">
        <f t="shared" si="13"/>
        <v/>
      </c>
    </row>
    <row r="306" spans="2:9" ht="36" customHeight="1" outlineLevel="1" x14ac:dyDescent="0.4">
      <c r="B306" s="14" t="str">
        <f>IF(D306&lt;&gt;"",COUNTA(D$2:D306),"")</f>
        <v/>
      </c>
      <c r="C306" s="14">
        <f t="shared" si="12"/>
        <v>49</v>
      </c>
      <c r="D306" s="19"/>
      <c r="E306" s="19"/>
      <c r="F306" s="19" t="s">
        <v>315</v>
      </c>
      <c r="G306" s="14"/>
      <c r="H306" s="14"/>
      <c r="I306" s="4" t="str">
        <f t="shared" si="13"/>
        <v/>
      </c>
    </row>
    <row r="307" spans="2:9" ht="126" customHeight="1" outlineLevel="1" x14ac:dyDescent="0.4">
      <c r="B307" s="14">
        <f>IF(D307&lt;&gt;"",COUNTA(D$2:D307),"")</f>
        <v>50</v>
      </c>
      <c r="C307" s="14">
        <f t="shared" si="12"/>
        <v>50</v>
      </c>
      <c r="D307" s="19" t="s">
        <v>316</v>
      </c>
      <c r="E307" s="19" t="s">
        <v>284</v>
      </c>
      <c r="F307" s="19"/>
      <c r="G307" s="14" t="str">
        <f>IF(ISBLANK(F307),"B","")</f>
        <v>B</v>
      </c>
      <c r="H307" s="14" t="str">
        <f>IF(OR(I307="",I307=-1),"",IF(I307&lt;4,"Đơn giản",IF(I307&lt;8,"Trung bình","Phức tạp")))</f>
        <v>Đơn giản</v>
      </c>
      <c r="I307" s="4">
        <f t="shared" si="13"/>
        <v>2</v>
      </c>
    </row>
    <row r="308" spans="2:9" ht="54" customHeight="1" outlineLevel="1" x14ac:dyDescent="0.4">
      <c r="B308" s="14" t="str">
        <f>IF(D308&lt;&gt;"",COUNTA(D$2:D308),"")</f>
        <v/>
      </c>
      <c r="C308" s="14">
        <f t="shared" si="12"/>
        <v>50</v>
      </c>
      <c r="D308" s="19"/>
      <c r="E308" s="19"/>
      <c r="F308" s="19" t="s">
        <v>317</v>
      </c>
      <c r="G308" s="14"/>
      <c r="H308" s="14"/>
      <c r="I308" s="4" t="str">
        <f t="shared" si="13"/>
        <v/>
      </c>
    </row>
    <row r="309" spans="2:9" ht="126" customHeight="1" outlineLevel="1" x14ac:dyDescent="0.4">
      <c r="B309" s="14" t="str">
        <f>IF(D309&lt;&gt;"",COUNTA(D$2:D309),"")</f>
        <v/>
      </c>
      <c r="C309" s="14">
        <f t="shared" si="12"/>
        <v>50</v>
      </c>
      <c r="D309" s="19"/>
      <c r="E309" s="19"/>
      <c r="F309" s="19" t="s">
        <v>318</v>
      </c>
      <c r="G309" s="14"/>
      <c r="H309" s="14"/>
      <c r="I309" s="4" t="str">
        <f t="shared" si="13"/>
        <v/>
      </c>
    </row>
    <row r="310" spans="2:9" x14ac:dyDescent="0.35">
      <c r="B310" s="11" t="s">
        <v>319</v>
      </c>
      <c r="C310" s="8"/>
      <c r="D310" s="8"/>
      <c r="E310" s="8"/>
      <c r="F310" s="9"/>
      <c r="G310" s="12"/>
      <c r="H310" s="13"/>
      <c r="I310" s="4"/>
    </row>
    <row r="311" spans="2:9" ht="36" customHeight="1" outlineLevel="1" x14ac:dyDescent="0.4">
      <c r="B311" s="14">
        <f>IF(D311&lt;&gt;"",COUNTA(D$2:D311),"")</f>
        <v>51</v>
      </c>
      <c r="C311" s="14">
        <f>IF(B311="",C310,B311)</f>
        <v>51</v>
      </c>
      <c r="D311" s="19" t="s">
        <v>320</v>
      </c>
      <c r="E311" s="19" t="s">
        <v>10</v>
      </c>
      <c r="F311" s="17"/>
      <c r="G311" s="14" t="str">
        <f>IF(ISBLANK(F311),"B","")</f>
        <v>B</v>
      </c>
      <c r="H311" s="14" t="str">
        <f>IF(OR(I311="",I311=-1),"",IF(I311&lt;4,"Đơn giản",IF(I311&lt;8,"Trung bình","Phức tạp")))</f>
        <v>Trung bình</v>
      </c>
      <c r="I311" s="4">
        <f>IF(B311="","", COUNTIF($C:$C,B311)-1)</f>
        <v>4</v>
      </c>
    </row>
    <row r="312" spans="2:9" ht="36" customHeight="1" outlineLevel="1" x14ac:dyDescent="0.4">
      <c r="B312" s="14" t="str">
        <f>IF(D312&lt;&gt;"",COUNTA(D$2:D312),"")</f>
        <v/>
      </c>
      <c r="C312" s="14">
        <f>IF(B312="",C311,B312)</f>
        <v>51</v>
      </c>
      <c r="D312" s="19"/>
      <c r="E312" s="19"/>
      <c r="F312" s="17" t="s">
        <v>321</v>
      </c>
      <c r="G312" s="14"/>
      <c r="H312" s="14"/>
      <c r="I312" s="4" t="str">
        <f>IF(B312="","", COUNTIF($C:$C,B312)-1)</f>
        <v/>
      </c>
    </row>
    <row r="313" spans="2:9" ht="36" customHeight="1" outlineLevel="1" x14ac:dyDescent="0.4">
      <c r="B313" s="14" t="str">
        <f>IF(D313&lt;&gt;"",COUNTA(D$2:D313),"")</f>
        <v/>
      </c>
      <c r="C313" s="14">
        <f>IF(B313="",C312,B313)</f>
        <v>51</v>
      </c>
      <c r="D313" s="19"/>
      <c r="E313" s="19"/>
      <c r="F313" s="17" t="s">
        <v>322</v>
      </c>
      <c r="G313" s="14"/>
      <c r="H313" s="14"/>
      <c r="I313" s="4" t="str">
        <f>IF(B313="","", COUNTIF($C:$C,B313)-1)</f>
        <v/>
      </c>
    </row>
    <row r="314" spans="2:9" outlineLevel="1" x14ac:dyDescent="0.4">
      <c r="B314" s="14" t="str">
        <f>IF(D314&lt;&gt;"",COUNTA(D$2:D314),"")</f>
        <v/>
      </c>
      <c r="C314" s="14">
        <f>IF(B314="",C313,B314)</f>
        <v>51</v>
      </c>
      <c r="D314" s="19"/>
      <c r="E314" s="19"/>
      <c r="F314" s="17" t="s">
        <v>323</v>
      </c>
      <c r="G314" s="14"/>
      <c r="H314" s="14"/>
      <c r="I314" s="4" t="str">
        <f>IF(B314="","", COUNTIF($C:$C,B314)-1)</f>
        <v/>
      </c>
    </row>
    <row r="315" spans="2:9" ht="36" customHeight="1" outlineLevel="1" x14ac:dyDescent="0.4">
      <c r="B315" s="14" t="str">
        <f>IF(D315&lt;&gt;"",COUNTA(D$2:D315),"")</f>
        <v/>
      </c>
      <c r="C315" s="14">
        <f>IF(B315="",C314,B315)</f>
        <v>51</v>
      </c>
      <c r="D315" s="19"/>
      <c r="E315" s="19"/>
      <c r="F315" s="17" t="s">
        <v>324</v>
      </c>
      <c r="G315" s="14"/>
      <c r="H315" s="14"/>
      <c r="I315" s="4" t="str">
        <f>IF(B315="","", COUNTIF($C:$C,B315)-1)</f>
        <v/>
      </c>
    </row>
    <row r="316" spans="2:9" x14ac:dyDescent="0.35">
      <c r="B316" s="11" t="s">
        <v>325</v>
      </c>
      <c r="C316" s="8"/>
      <c r="D316" s="8"/>
      <c r="E316" s="8"/>
      <c r="F316" s="9"/>
      <c r="G316" s="12"/>
      <c r="H316" s="13"/>
      <c r="I316" s="4"/>
    </row>
    <row r="317" spans="2:9" ht="36" customHeight="1" outlineLevel="1" x14ac:dyDescent="0.35">
      <c r="B317" s="14">
        <f>IF(D317&lt;&gt;"",COUNTA(D$2:D317),"")</f>
        <v>52</v>
      </c>
      <c r="C317" s="14">
        <f t="shared" ref="C317:C337" si="14">IF(B317="",C316,B317)</f>
        <v>52</v>
      </c>
      <c r="D317" s="15" t="s">
        <v>326</v>
      </c>
      <c r="E317" s="16" t="s">
        <v>10</v>
      </c>
      <c r="F317" s="17"/>
      <c r="G317" s="14" t="str">
        <f>IF(ISBLANK(F317),"B","")</f>
        <v>B</v>
      </c>
      <c r="H317" s="14" t="str">
        <f>IF(OR(I317="",I317=-1),"",IF(I317&lt;4,"Đơn giản",IF(I317&lt;8,"Trung bình","Phức tạp")))</f>
        <v>Trung bình</v>
      </c>
      <c r="I317" s="4">
        <f t="shared" ref="I317:I337" si="15">IF(B317="","", COUNTIF($C:$C,B317)-1)</f>
        <v>5</v>
      </c>
    </row>
    <row r="318" spans="2:9" ht="36" customHeight="1" outlineLevel="1" x14ac:dyDescent="0.35">
      <c r="B318" s="14" t="str">
        <f>IF(D318&lt;&gt;"",COUNTA(D$2:D318),"")</f>
        <v/>
      </c>
      <c r="C318" s="14">
        <f t="shared" si="14"/>
        <v>52</v>
      </c>
      <c r="D318" s="15"/>
      <c r="E318" s="16"/>
      <c r="F318" s="17" t="s">
        <v>327</v>
      </c>
      <c r="G318" s="14"/>
      <c r="H318" s="14"/>
      <c r="I318" s="4" t="str">
        <f t="shared" si="15"/>
        <v/>
      </c>
    </row>
    <row r="319" spans="2:9" ht="36" customHeight="1" outlineLevel="1" x14ac:dyDescent="0.35">
      <c r="B319" s="14" t="str">
        <f>IF(D319&lt;&gt;"",COUNTA(D$2:D319),"")</f>
        <v/>
      </c>
      <c r="C319" s="14">
        <f t="shared" si="14"/>
        <v>52</v>
      </c>
      <c r="D319" s="15"/>
      <c r="E319" s="16"/>
      <c r="F319" s="17" t="s">
        <v>328</v>
      </c>
      <c r="G319" s="14"/>
      <c r="H319" s="14"/>
      <c r="I319" s="4" t="str">
        <f t="shared" si="15"/>
        <v/>
      </c>
    </row>
    <row r="320" spans="2:9" ht="54" customHeight="1" outlineLevel="1" x14ac:dyDescent="0.35">
      <c r="B320" s="14" t="str">
        <f>IF(D320&lt;&gt;"",COUNTA(D$2:D320),"")</f>
        <v/>
      </c>
      <c r="C320" s="14">
        <f t="shared" si="14"/>
        <v>52</v>
      </c>
      <c r="D320" s="15"/>
      <c r="E320" s="16"/>
      <c r="F320" s="17" t="s">
        <v>329</v>
      </c>
      <c r="G320" s="14"/>
      <c r="H320" s="14"/>
      <c r="I320" s="4" t="str">
        <f t="shared" si="15"/>
        <v/>
      </c>
    </row>
    <row r="321" spans="2:9" ht="36" customHeight="1" outlineLevel="1" x14ac:dyDescent="0.35">
      <c r="B321" s="14" t="str">
        <f>IF(D321&lt;&gt;"",COUNTA(D$2:D321),"")</f>
        <v/>
      </c>
      <c r="C321" s="14">
        <f t="shared" si="14"/>
        <v>52</v>
      </c>
      <c r="D321" s="15"/>
      <c r="E321" s="16"/>
      <c r="F321" s="17" t="s">
        <v>330</v>
      </c>
      <c r="G321" s="14"/>
      <c r="H321" s="14"/>
      <c r="I321" s="4" t="str">
        <f t="shared" si="15"/>
        <v/>
      </c>
    </row>
    <row r="322" spans="2:9" ht="36" customHeight="1" outlineLevel="1" x14ac:dyDescent="0.35">
      <c r="B322" s="14" t="str">
        <f>IF(D322&lt;&gt;"",COUNTA(D$2:D322),"")</f>
        <v/>
      </c>
      <c r="C322" s="14">
        <f t="shared" si="14"/>
        <v>52</v>
      </c>
      <c r="D322" s="15"/>
      <c r="E322" s="16"/>
      <c r="F322" s="17" t="s">
        <v>331</v>
      </c>
      <c r="G322" s="14"/>
      <c r="H322" s="14"/>
      <c r="I322" s="4" t="str">
        <f t="shared" si="15"/>
        <v/>
      </c>
    </row>
    <row r="323" spans="2:9" ht="36" customHeight="1" outlineLevel="1" x14ac:dyDescent="0.35">
      <c r="B323" s="14">
        <f>IF(D323&lt;&gt;"",COUNTA(D$2:D323),"")</f>
        <v>53</v>
      </c>
      <c r="C323" s="14">
        <f t="shared" si="14"/>
        <v>53</v>
      </c>
      <c r="D323" s="15" t="s">
        <v>332</v>
      </c>
      <c r="E323" s="16" t="s">
        <v>10</v>
      </c>
      <c r="F323" s="17"/>
      <c r="G323" s="14" t="str">
        <f>IF(ISBLANK(F323),"B","")</f>
        <v>B</v>
      </c>
      <c r="H323" s="14" t="str">
        <f>IF(OR(I323="",I323=-1),"",IF(I323&lt;4,"Đơn giản",IF(I323&lt;8,"Trung bình","Phức tạp")))</f>
        <v>Trung bình</v>
      </c>
      <c r="I323" s="4">
        <f t="shared" si="15"/>
        <v>4</v>
      </c>
    </row>
    <row r="324" spans="2:9" ht="36" customHeight="1" outlineLevel="1" x14ac:dyDescent="0.35">
      <c r="B324" s="14" t="str">
        <f>IF(D324&lt;&gt;"",COUNTA(D$2:D324),"")</f>
        <v/>
      </c>
      <c r="C324" s="14">
        <f t="shared" si="14"/>
        <v>53</v>
      </c>
      <c r="D324" s="15"/>
      <c r="E324" s="16"/>
      <c r="F324" s="17" t="s">
        <v>333</v>
      </c>
      <c r="G324" s="14"/>
      <c r="H324" s="14"/>
      <c r="I324" s="4" t="str">
        <f t="shared" si="15"/>
        <v/>
      </c>
    </row>
    <row r="325" spans="2:9" ht="36" customHeight="1" outlineLevel="1" x14ac:dyDescent="0.35">
      <c r="B325" s="14" t="str">
        <f>IF(D325&lt;&gt;"",COUNTA(D$2:D325),"")</f>
        <v/>
      </c>
      <c r="C325" s="14">
        <f t="shared" si="14"/>
        <v>53</v>
      </c>
      <c r="D325" s="15"/>
      <c r="E325" s="16"/>
      <c r="F325" s="17" t="s">
        <v>334</v>
      </c>
      <c r="G325" s="14"/>
      <c r="H325" s="14"/>
      <c r="I325" s="4" t="str">
        <f t="shared" si="15"/>
        <v/>
      </c>
    </row>
    <row r="326" spans="2:9" ht="54" customHeight="1" outlineLevel="1" x14ac:dyDescent="0.35">
      <c r="B326" s="14" t="str">
        <f>IF(D326&lt;&gt;"",COUNTA(D$2:D326),"")</f>
        <v/>
      </c>
      <c r="C326" s="14">
        <f t="shared" si="14"/>
        <v>53</v>
      </c>
      <c r="D326" s="15"/>
      <c r="E326" s="16"/>
      <c r="F326" s="17" t="s">
        <v>335</v>
      </c>
      <c r="G326" s="14"/>
      <c r="H326" s="14"/>
      <c r="I326" s="4" t="str">
        <f t="shared" si="15"/>
        <v/>
      </c>
    </row>
    <row r="327" spans="2:9" ht="36" customHeight="1" outlineLevel="1" x14ac:dyDescent="0.35">
      <c r="B327" s="14" t="str">
        <f>IF(D327&lt;&gt;"",COUNTA(D$2:D327),"")</f>
        <v/>
      </c>
      <c r="C327" s="14">
        <f t="shared" si="14"/>
        <v>53</v>
      </c>
      <c r="D327" s="15"/>
      <c r="E327" s="16"/>
      <c r="F327" s="17" t="s">
        <v>336</v>
      </c>
      <c r="G327" s="14"/>
      <c r="H327" s="14"/>
      <c r="I327" s="4" t="str">
        <f t="shared" si="15"/>
        <v/>
      </c>
    </row>
    <row r="328" spans="2:9" ht="36" customHeight="1" outlineLevel="1" x14ac:dyDescent="0.35">
      <c r="B328" s="14">
        <f>IF(D328&lt;&gt;"",COUNTA(D$2:D328),"")</f>
        <v>54</v>
      </c>
      <c r="C328" s="14">
        <f t="shared" si="14"/>
        <v>54</v>
      </c>
      <c r="D328" s="15" t="s">
        <v>337</v>
      </c>
      <c r="E328" s="16" t="s">
        <v>10</v>
      </c>
      <c r="F328" s="17"/>
      <c r="G328" s="14" t="str">
        <f>IF(ISBLANK(F328),"B","")</f>
        <v>B</v>
      </c>
      <c r="H328" s="14" t="str">
        <f>IF(OR(I328="",I328=-1),"",IF(I328&lt;4,"Đơn giản",IF(I328&lt;8,"Trung bình","Phức tạp")))</f>
        <v>Trung bình</v>
      </c>
      <c r="I328" s="4">
        <f t="shared" si="15"/>
        <v>4</v>
      </c>
    </row>
    <row r="329" spans="2:9" ht="36" customHeight="1" outlineLevel="1" x14ac:dyDescent="0.35">
      <c r="B329" s="14" t="str">
        <f>IF(D329&lt;&gt;"",COUNTA(D$2:D329),"")</f>
        <v/>
      </c>
      <c r="C329" s="14">
        <f t="shared" si="14"/>
        <v>54</v>
      </c>
      <c r="D329" s="15"/>
      <c r="E329" s="16"/>
      <c r="F329" s="17" t="s">
        <v>338</v>
      </c>
      <c r="G329" s="14"/>
      <c r="H329" s="14"/>
      <c r="I329" s="4" t="str">
        <f t="shared" si="15"/>
        <v/>
      </c>
    </row>
    <row r="330" spans="2:9" ht="36" customHeight="1" outlineLevel="1" x14ac:dyDescent="0.35">
      <c r="B330" s="14" t="str">
        <f>IF(D330&lt;&gt;"",COUNTA(D$2:D330),"")</f>
        <v/>
      </c>
      <c r="C330" s="14">
        <f t="shared" si="14"/>
        <v>54</v>
      </c>
      <c r="D330" s="15"/>
      <c r="E330" s="16"/>
      <c r="F330" s="17" t="s">
        <v>339</v>
      </c>
      <c r="G330" s="14"/>
      <c r="H330" s="14"/>
      <c r="I330" s="4" t="str">
        <f t="shared" si="15"/>
        <v/>
      </c>
    </row>
    <row r="331" spans="2:9" ht="36" customHeight="1" outlineLevel="1" x14ac:dyDescent="0.35">
      <c r="B331" s="14" t="str">
        <f>IF(D331&lt;&gt;"",COUNTA(D$2:D331),"")</f>
        <v/>
      </c>
      <c r="C331" s="14">
        <f t="shared" si="14"/>
        <v>54</v>
      </c>
      <c r="D331" s="15"/>
      <c r="E331" s="16"/>
      <c r="F331" s="17" t="s">
        <v>340</v>
      </c>
      <c r="G331" s="14"/>
      <c r="H331" s="14"/>
      <c r="I331" s="4" t="str">
        <f t="shared" si="15"/>
        <v/>
      </c>
    </row>
    <row r="332" spans="2:9" ht="36" customHeight="1" outlineLevel="1" x14ac:dyDescent="0.35">
      <c r="B332" s="14" t="str">
        <f>IF(D332&lt;&gt;"",COUNTA(D$2:D332),"")</f>
        <v/>
      </c>
      <c r="C332" s="14">
        <f t="shared" si="14"/>
        <v>54</v>
      </c>
      <c r="D332" s="15"/>
      <c r="E332" s="16"/>
      <c r="F332" s="17" t="s">
        <v>341</v>
      </c>
      <c r="G332" s="14"/>
      <c r="H332" s="14"/>
      <c r="I332" s="4" t="str">
        <f t="shared" si="15"/>
        <v/>
      </c>
    </row>
    <row r="333" spans="2:9" ht="36" customHeight="1" outlineLevel="1" x14ac:dyDescent="0.4">
      <c r="B333" s="14">
        <f>IF(D333&lt;&gt;"",COUNTA(D$2:D333),"")</f>
        <v>55</v>
      </c>
      <c r="C333" s="14">
        <f t="shared" si="14"/>
        <v>55</v>
      </c>
      <c r="D333" s="19" t="s">
        <v>342</v>
      </c>
      <c r="E333" s="16" t="s">
        <v>10</v>
      </c>
      <c r="F333" s="17"/>
      <c r="G333" s="14" t="str">
        <f>IF(ISBLANK(F333),"B","")</f>
        <v>B</v>
      </c>
      <c r="H333" s="14" t="str">
        <f>IF(OR(I333="",I333=-1),"",IF(I333&lt;4,"Đơn giản",IF(I333&lt;8,"Trung bình","Phức tạp")))</f>
        <v>Trung bình</v>
      </c>
      <c r="I333" s="4">
        <f t="shared" si="15"/>
        <v>4</v>
      </c>
    </row>
    <row r="334" spans="2:9" ht="36" customHeight="1" outlineLevel="1" x14ac:dyDescent="0.35">
      <c r="B334" s="14" t="str">
        <f>IF(D334&lt;&gt;"",COUNTA(D$2:D334),"")</f>
        <v/>
      </c>
      <c r="C334" s="14">
        <f t="shared" si="14"/>
        <v>55</v>
      </c>
      <c r="D334" s="16"/>
      <c r="E334" s="14"/>
      <c r="F334" s="17" t="s">
        <v>343</v>
      </c>
      <c r="G334" s="14"/>
      <c r="H334" s="14"/>
      <c r="I334" s="4" t="str">
        <f t="shared" si="15"/>
        <v/>
      </c>
    </row>
    <row r="335" spans="2:9" ht="36" customHeight="1" outlineLevel="1" x14ac:dyDescent="0.35">
      <c r="B335" s="14" t="str">
        <f>IF(D335&lt;&gt;"",COUNTA(D$2:D335),"")</f>
        <v/>
      </c>
      <c r="C335" s="14">
        <f t="shared" si="14"/>
        <v>55</v>
      </c>
      <c r="D335" s="16"/>
      <c r="E335" s="14"/>
      <c r="F335" s="17" t="s">
        <v>344</v>
      </c>
      <c r="G335" s="14"/>
      <c r="H335" s="14"/>
      <c r="I335" s="4" t="str">
        <f t="shared" si="15"/>
        <v/>
      </c>
    </row>
    <row r="336" spans="2:9" ht="36" customHeight="1" outlineLevel="1" x14ac:dyDescent="0.35">
      <c r="B336" s="14" t="str">
        <f>IF(D336&lt;&gt;"",COUNTA(D$2:D336),"")</f>
        <v/>
      </c>
      <c r="C336" s="14">
        <f t="shared" si="14"/>
        <v>55</v>
      </c>
      <c r="D336" s="16"/>
      <c r="E336" s="14"/>
      <c r="F336" s="17" t="s">
        <v>345</v>
      </c>
      <c r="G336" s="14"/>
      <c r="H336" s="14"/>
      <c r="I336" s="4" t="str">
        <f t="shared" si="15"/>
        <v/>
      </c>
    </row>
    <row r="337" spans="2:9" ht="36" customHeight="1" outlineLevel="1" x14ac:dyDescent="0.35">
      <c r="B337" s="14" t="str">
        <f>IF(D337&lt;&gt;"",COUNTA(D$2:D337),"")</f>
        <v/>
      </c>
      <c r="C337" s="14">
        <f t="shared" si="14"/>
        <v>55</v>
      </c>
      <c r="D337" s="16"/>
      <c r="E337" s="14"/>
      <c r="F337" s="17" t="s">
        <v>346</v>
      </c>
      <c r="G337" s="14"/>
      <c r="H337" s="14"/>
      <c r="I337" s="4" t="str">
        <f t="shared" si="15"/>
        <v/>
      </c>
    </row>
    <row r="338" spans="2:9" x14ac:dyDescent="0.35">
      <c r="B338" s="11" t="s">
        <v>347</v>
      </c>
      <c r="C338" s="8"/>
      <c r="D338" s="8"/>
      <c r="E338" s="8"/>
      <c r="F338" s="9"/>
      <c r="G338" s="12"/>
      <c r="H338" s="13"/>
      <c r="I338" s="4"/>
    </row>
    <row r="339" spans="2:9" ht="36" customHeight="1" outlineLevel="1" x14ac:dyDescent="0.35">
      <c r="B339" s="14">
        <f>IF(D339&lt;&gt;"",COUNTA(D$2:D339),"")</f>
        <v>56</v>
      </c>
      <c r="C339" s="14">
        <f t="shared" ref="C339:C402" si="16">IF(B339="",C338,B339)</f>
        <v>56</v>
      </c>
      <c r="D339" s="15" t="s">
        <v>348</v>
      </c>
      <c r="E339" s="16" t="s">
        <v>10</v>
      </c>
      <c r="F339" s="17"/>
      <c r="G339" s="14" t="str">
        <f>IF(ISBLANK(F339),"B","")</f>
        <v>B</v>
      </c>
      <c r="H339" s="14" t="str">
        <f>IF(OR(I339="",I339=-1),"",IF(I339&lt;4,"Đơn giản",IF(I339&lt;8,"Trung bình","Phức tạp")))</f>
        <v>Trung bình</v>
      </c>
      <c r="I339" s="4">
        <f t="shared" ref="I339:I402" si="17">IF(B339="","", COUNTIF($C:$C,B339)-1)</f>
        <v>5</v>
      </c>
    </row>
    <row r="340" spans="2:9" ht="36" customHeight="1" outlineLevel="1" x14ac:dyDescent="0.35">
      <c r="B340" s="14" t="str">
        <f>IF(D340&lt;&gt;"",COUNTA(D$2:D340),"")</f>
        <v/>
      </c>
      <c r="C340" s="14">
        <f t="shared" si="16"/>
        <v>56</v>
      </c>
      <c r="D340" s="15"/>
      <c r="E340" s="16"/>
      <c r="F340" s="17" t="s">
        <v>349</v>
      </c>
      <c r="G340" s="14"/>
      <c r="H340" s="14"/>
      <c r="I340" s="4" t="str">
        <f t="shared" si="17"/>
        <v/>
      </c>
    </row>
    <row r="341" spans="2:9" ht="36" customHeight="1" outlineLevel="1" x14ac:dyDescent="0.35">
      <c r="B341" s="14" t="str">
        <f>IF(D341&lt;&gt;"",COUNTA(D$2:D341),"")</f>
        <v/>
      </c>
      <c r="C341" s="14">
        <f t="shared" si="16"/>
        <v>56</v>
      </c>
      <c r="D341" s="15"/>
      <c r="E341" s="16"/>
      <c r="F341" s="17" t="s">
        <v>350</v>
      </c>
      <c r="G341" s="14"/>
      <c r="H341" s="14"/>
      <c r="I341" s="4" t="str">
        <f t="shared" si="17"/>
        <v/>
      </c>
    </row>
    <row r="342" spans="2:9" ht="36" customHeight="1" outlineLevel="1" x14ac:dyDescent="0.35">
      <c r="B342" s="14" t="str">
        <f>IF(D342&lt;&gt;"",COUNTA(D$2:D342),"")</f>
        <v/>
      </c>
      <c r="C342" s="14">
        <f t="shared" si="16"/>
        <v>56</v>
      </c>
      <c r="D342" s="15"/>
      <c r="E342" s="16"/>
      <c r="F342" s="17" t="s">
        <v>351</v>
      </c>
      <c r="G342" s="14"/>
      <c r="H342" s="14"/>
      <c r="I342" s="4" t="str">
        <f t="shared" si="17"/>
        <v/>
      </c>
    </row>
    <row r="343" spans="2:9" ht="36" customHeight="1" outlineLevel="1" x14ac:dyDescent="0.35">
      <c r="B343" s="14" t="str">
        <f>IF(D343&lt;&gt;"",COUNTA(D$2:D343),"")</f>
        <v/>
      </c>
      <c r="C343" s="14">
        <f t="shared" si="16"/>
        <v>56</v>
      </c>
      <c r="D343" s="15"/>
      <c r="E343" s="16"/>
      <c r="F343" s="17" t="s">
        <v>352</v>
      </c>
      <c r="G343" s="14"/>
      <c r="H343" s="14"/>
      <c r="I343" s="4" t="str">
        <f t="shared" si="17"/>
        <v/>
      </c>
    </row>
    <row r="344" spans="2:9" outlineLevel="1" x14ac:dyDescent="0.35">
      <c r="B344" s="14" t="str">
        <f>IF(D344&lt;&gt;"",COUNTA(D$2:D344),"")</f>
        <v/>
      </c>
      <c r="C344" s="14">
        <f t="shared" si="16"/>
        <v>56</v>
      </c>
      <c r="D344" s="15"/>
      <c r="E344" s="16"/>
      <c r="F344" s="17" t="s">
        <v>353</v>
      </c>
      <c r="G344" s="14"/>
      <c r="H344" s="14"/>
      <c r="I344" s="4" t="str">
        <f t="shared" si="17"/>
        <v/>
      </c>
    </row>
    <row r="345" spans="2:9" ht="36" customHeight="1" outlineLevel="1" x14ac:dyDescent="0.35">
      <c r="B345" s="14">
        <f>IF(D345&lt;&gt;"",COUNTA(D$2:D345),"")</f>
        <v>57</v>
      </c>
      <c r="C345" s="14">
        <f t="shared" si="16"/>
        <v>57</v>
      </c>
      <c r="D345" s="15" t="s">
        <v>354</v>
      </c>
      <c r="E345" s="16" t="s">
        <v>10</v>
      </c>
      <c r="F345" s="17"/>
      <c r="G345" s="14" t="str">
        <f>IF(ISBLANK(F345),"B","")</f>
        <v>B</v>
      </c>
      <c r="H345" s="14" t="str">
        <f>IF(OR(I345="",I345=-1),"",IF(I345&lt;4,"Đơn giản",IF(I345&lt;8,"Trung bình","Phức tạp")))</f>
        <v>Trung bình</v>
      </c>
      <c r="I345" s="4">
        <f t="shared" si="17"/>
        <v>4</v>
      </c>
    </row>
    <row r="346" spans="2:9" ht="36" customHeight="1" outlineLevel="1" x14ac:dyDescent="0.35">
      <c r="B346" s="14" t="str">
        <f>IF(D346&lt;&gt;"",COUNTA(D$2:D346),"")</f>
        <v/>
      </c>
      <c r="C346" s="14">
        <f t="shared" si="16"/>
        <v>57</v>
      </c>
      <c r="D346" s="15"/>
      <c r="E346" s="16"/>
      <c r="F346" s="17" t="s">
        <v>355</v>
      </c>
      <c r="G346" s="14"/>
      <c r="H346" s="14"/>
      <c r="I346" s="4" t="str">
        <f t="shared" si="17"/>
        <v/>
      </c>
    </row>
    <row r="347" spans="2:9" ht="36" customHeight="1" outlineLevel="1" x14ac:dyDescent="0.35">
      <c r="B347" s="14" t="str">
        <f>IF(D347&lt;&gt;"",COUNTA(D$2:D347),"")</f>
        <v/>
      </c>
      <c r="C347" s="14">
        <f t="shared" si="16"/>
        <v>57</v>
      </c>
      <c r="D347" s="15"/>
      <c r="E347" s="16"/>
      <c r="F347" s="17" t="s">
        <v>356</v>
      </c>
      <c r="G347" s="14"/>
      <c r="H347" s="14"/>
      <c r="I347" s="4" t="str">
        <f t="shared" si="17"/>
        <v/>
      </c>
    </row>
    <row r="348" spans="2:9" ht="36" customHeight="1" outlineLevel="1" x14ac:dyDescent="0.35">
      <c r="B348" s="14" t="str">
        <f>IF(D348&lt;&gt;"",COUNTA(D$2:D348),"")</f>
        <v/>
      </c>
      <c r="C348" s="14">
        <f t="shared" si="16"/>
        <v>57</v>
      </c>
      <c r="D348" s="15"/>
      <c r="E348" s="16"/>
      <c r="F348" s="17" t="s">
        <v>357</v>
      </c>
      <c r="G348" s="14"/>
      <c r="H348" s="14"/>
      <c r="I348" s="4" t="str">
        <f t="shared" si="17"/>
        <v/>
      </c>
    </row>
    <row r="349" spans="2:9" outlineLevel="1" x14ac:dyDescent="0.35">
      <c r="B349" s="14" t="str">
        <f>IF(D349&lt;&gt;"",COUNTA(D$2:D349),"")</f>
        <v/>
      </c>
      <c r="C349" s="14">
        <f t="shared" si="16"/>
        <v>57</v>
      </c>
      <c r="D349" s="15"/>
      <c r="E349" s="16"/>
      <c r="F349" s="17" t="s">
        <v>358</v>
      </c>
      <c r="G349" s="14"/>
      <c r="H349" s="14"/>
      <c r="I349" s="4" t="str">
        <f t="shared" si="17"/>
        <v/>
      </c>
    </row>
    <row r="350" spans="2:9" ht="36" customHeight="1" outlineLevel="1" x14ac:dyDescent="0.35">
      <c r="B350" s="14">
        <f>IF(D350&lt;&gt;"",COUNTA(D$2:D350),"")</f>
        <v>58</v>
      </c>
      <c r="C350" s="14">
        <f t="shared" si="16"/>
        <v>58</v>
      </c>
      <c r="D350" s="15" t="s">
        <v>359</v>
      </c>
      <c r="E350" s="16" t="s">
        <v>10</v>
      </c>
      <c r="F350" s="17"/>
      <c r="G350" s="14" t="str">
        <f>IF(ISBLANK(F350),"B","")</f>
        <v>B</v>
      </c>
      <c r="H350" s="14" t="str">
        <f>IF(OR(I350="",I350=-1),"",IF(I350&lt;4,"Đơn giản",IF(I350&lt;8,"Trung bình","Phức tạp")))</f>
        <v>Đơn giản</v>
      </c>
      <c r="I350" s="4">
        <f t="shared" si="17"/>
        <v>3</v>
      </c>
    </row>
    <row r="351" spans="2:9" outlineLevel="1" x14ac:dyDescent="0.35">
      <c r="B351" s="14" t="str">
        <f>IF(D351&lt;&gt;"",COUNTA(D$2:D351),"")</f>
        <v/>
      </c>
      <c r="C351" s="14">
        <f t="shared" si="16"/>
        <v>58</v>
      </c>
      <c r="D351" s="15"/>
      <c r="E351" s="16"/>
      <c r="F351" s="17" t="s">
        <v>360</v>
      </c>
      <c r="G351" s="14"/>
      <c r="H351" s="14"/>
      <c r="I351" s="4" t="str">
        <f t="shared" si="17"/>
        <v/>
      </c>
    </row>
    <row r="352" spans="2:9" ht="36" customHeight="1" outlineLevel="1" x14ac:dyDescent="0.35">
      <c r="B352" s="14" t="str">
        <f>IF(D352&lt;&gt;"",COUNTA(D$2:D352),"")</f>
        <v/>
      </c>
      <c r="C352" s="14">
        <f t="shared" si="16"/>
        <v>58</v>
      </c>
      <c r="D352" s="15"/>
      <c r="E352" s="16"/>
      <c r="F352" s="17" t="s">
        <v>361</v>
      </c>
      <c r="G352" s="14"/>
      <c r="H352" s="14"/>
      <c r="I352" s="4" t="str">
        <f t="shared" si="17"/>
        <v/>
      </c>
    </row>
    <row r="353" spans="2:9" outlineLevel="1" x14ac:dyDescent="0.35">
      <c r="B353" s="14" t="str">
        <f>IF(D353&lt;&gt;"",COUNTA(D$2:D353),"")</f>
        <v/>
      </c>
      <c r="C353" s="14">
        <f t="shared" si="16"/>
        <v>58</v>
      </c>
      <c r="D353" s="15"/>
      <c r="E353" s="16"/>
      <c r="F353" s="17" t="s">
        <v>362</v>
      </c>
      <c r="G353" s="14"/>
      <c r="H353" s="14"/>
      <c r="I353" s="4" t="str">
        <f t="shared" si="17"/>
        <v/>
      </c>
    </row>
    <row r="354" spans="2:9" ht="36" customHeight="1" outlineLevel="1" x14ac:dyDescent="0.35">
      <c r="B354" s="14">
        <f>IF(D354&lt;&gt;"",COUNTA(D$2:D354),"")</f>
        <v>59</v>
      </c>
      <c r="C354" s="14">
        <f t="shared" si="16"/>
        <v>59</v>
      </c>
      <c r="D354" s="15" t="s">
        <v>363</v>
      </c>
      <c r="E354" s="16" t="s">
        <v>10</v>
      </c>
      <c r="F354" s="17"/>
      <c r="G354" s="14" t="str">
        <f>IF(ISBLANK(F354),"B","")</f>
        <v>B</v>
      </c>
      <c r="H354" s="14" t="str">
        <f>IF(OR(I354="",I354=-1),"",IF(I354&lt;4,"Đơn giản",IF(I354&lt;8,"Trung bình","Phức tạp")))</f>
        <v>Đơn giản</v>
      </c>
      <c r="I354" s="4">
        <f t="shared" si="17"/>
        <v>3</v>
      </c>
    </row>
    <row r="355" spans="2:9" outlineLevel="1" x14ac:dyDescent="0.35">
      <c r="B355" s="14" t="str">
        <f>IF(D355&lt;&gt;"",COUNTA(D$2:D355),"")</f>
        <v/>
      </c>
      <c r="C355" s="14">
        <f t="shared" si="16"/>
        <v>59</v>
      </c>
      <c r="D355" s="15"/>
      <c r="E355" s="16"/>
      <c r="F355" s="17" t="s">
        <v>364</v>
      </c>
      <c r="G355" s="14"/>
      <c r="H355" s="14"/>
      <c r="I355" s="4" t="str">
        <f t="shared" si="17"/>
        <v/>
      </c>
    </row>
    <row r="356" spans="2:9" outlineLevel="1" x14ac:dyDescent="0.35">
      <c r="B356" s="14" t="str">
        <f>IF(D356&lt;&gt;"",COUNTA(D$2:D356),"")</f>
        <v/>
      </c>
      <c r="C356" s="14">
        <f t="shared" si="16"/>
        <v>59</v>
      </c>
      <c r="D356" s="15"/>
      <c r="E356" s="16"/>
      <c r="F356" s="17" t="s">
        <v>365</v>
      </c>
      <c r="G356" s="14"/>
      <c r="H356" s="14"/>
      <c r="I356" s="4" t="str">
        <f t="shared" si="17"/>
        <v/>
      </c>
    </row>
    <row r="357" spans="2:9" ht="36" customHeight="1" outlineLevel="1" x14ac:dyDescent="0.35">
      <c r="B357" s="14" t="str">
        <f>IF(D357&lt;&gt;"",COUNTA(D$2:D357),"")</f>
        <v/>
      </c>
      <c r="C357" s="14">
        <f t="shared" si="16"/>
        <v>59</v>
      </c>
      <c r="D357" s="15"/>
      <c r="E357" s="16"/>
      <c r="F357" s="17" t="s">
        <v>366</v>
      </c>
      <c r="G357" s="14"/>
      <c r="H357" s="14"/>
      <c r="I357" s="4" t="str">
        <f t="shared" si="17"/>
        <v/>
      </c>
    </row>
    <row r="358" spans="2:9" ht="36" customHeight="1" outlineLevel="1" x14ac:dyDescent="0.35">
      <c r="B358" s="14">
        <f>IF(D358&lt;&gt;"",COUNTA(D$2:D358),"")</f>
        <v>60</v>
      </c>
      <c r="C358" s="14">
        <f t="shared" si="16"/>
        <v>60</v>
      </c>
      <c r="D358" s="15" t="s">
        <v>367</v>
      </c>
      <c r="E358" s="16" t="s">
        <v>10</v>
      </c>
      <c r="F358" s="17"/>
      <c r="G358" s="14" t="str">
        <f>IF(ISBLANK(F358),"B","")</f>
        <v>B</v>
      </c>
      <c r="H358" s="14" t="str">
        <f>IF(OR(I358="",I358=-1),"",IF(I358&lt;4,"Đơn giản",IF(I358&lt;8,"Trung bình","Phức tạp")))</f>
        <v>Đơn giản</v>
      </c>
      <c r="I358" s="4">
        <f t="shared" si="17"/>
        <v>3</v>
      </c>
    </row>
    <row r="359" spans="2:9" outlineLevel="1" x14ac:dyDescent="0.35">
      <c r="B359" s="14" t="str">
        <f>IF(D359&lt;&gt;"",COUNTA(D$2:D359),"")</f>
        <v/>
      </c>
      <c r="C359" s="14">
        <f t="shared" si="16"/>
        <v>60</v>
      </c>
      <c r="D359" s="15"/>
      <c r="E359" s="16"/>
      <c r="F359" s="17" t="s">
        <v>368</v>
      </c>
      <c r="G359" s="14"/>
      <c r="H359" s="14"/>
      <c r="I359" s="4" t="str">
        <f t="shared" si="17"/>
        <v/>
      </c>
    </row>
    <row r="360" spans="2:9" ht="36" customHeight="1" outlineLevel="1" x14ac:dyDescent="0.35">
      <c r="B360" s="14" t="str">
        <f>IF(D360&lt;&gt;"",COUNTA(D$2:D360),"")</f>
        <v/>
      </c>
      <c r="C360" s="14">
        <f t="shared" si="16"/>
        <v>60</v>
      </c>
      <c r="D360" s="15"/>
      <c r="E360" s="16"/>
      <c r="F360" s="17" t="s">
        <v>369</v>
      </c>
      <c r="G360" s="14"/>
      <c r="H360" s="14"/>
      <c r="I360" s="4" t="str">
        <f t="shared" si="17"/>
        <v/>
      </c>
    </row>
    <row r="361" spans="2:9" ht="36" customHeight="1" outlineLevel="1" x14ac:dyDescent="0.35">
      <c r="B361" s="14" t="str">
        <f>IF(D361&lt;&gt;"",COUNTA(D$2:D361),"")</f>
        <v/>
      </c>
      <c r="C361" s="14">
        <f t="shared" si="16"/>
        <v>60</v>
      </c>
      <c r="D361" s="15"/>
      <c r="E361" s="16"/>
      <c r="F361" s="17" t="s">
        <v>370</v>
      </c>
      <c r="G361" s="14"/>
      <c r="H361" s="14"/>
      <c r="I361" s="4" t="str">
        <f t="shared" si="17"/>
        <v/>
      </c>
    </row>
    <row r="362" spans="2:9" ht="36" customHeight="1" outlineLevel="1" x14ac:dyDescent="0.35">
      <c r="B362" s="14">
        <f>IF(D362&lt;&gt;"",COUNTA(D$2:D362),"")</f>
        <v>61</v>
      </c>
      <c r="C362" s="14">
        <f t="shared" si="16"/>
        <v>61</v>
      </c>
      <c r="D362" s="15" t="s">
        <v>371</v>
      </c>
      <c r="E362" s="16" t="s">
        <v>10</v>
      </c>
      <c r="F362" s="17"/>
      <c r="G362" s="14" t="str">
        <f>IF(ISBLANK(F362),"B","")</f>
        <v>B</v>
      </c>
      <c r="H362" s="14" t="str">
        <f>IF(OR(I362="",I362=-1),"",IF(I362&lt;4,"Đơn giản",IF(I362&lt;8,"Trung bình","Phức tạp")))</f>
        <v>Trung bình</v>
      </c>
      <c r="I362" s="4">
        <f t="shared" si="17"/>
        <v>4</v>
      </c>
    </row>
    <row r="363" spans="2:9" ht="36" customHeight="1" outlineLevel="1" x14ac:dyDescent="0.35">
      <c r="B363" s="14" t="str">
        <f>IF(D363&lt;&gt;"",COUNTA(D$2:D363),"")</f>
        <v/>
      </c>
      <c r="C363" s="14">
        <f t="shared" si="16"/>
        <v>61</v>
      </c>
      <c r="D363" s="15"/>
      <c r="E363" s="16"/>
      <c r="F363" s="17" t="s">
        <v>372</v>
      </c>
      <c r="G363" s="14"/>
      <c r="H363" s="14"/>
      <c r="I363" s="4" t="str">
        <f t="shared" si="17"/>
        <v/>
      </c>
    </row>
    <row r="364" spans="2:9" outlineLevel="1" x14ac:dyDescent="0.35">
      <c r="B364" s="14" t="str">
        <f>IF(D364&lt;&gt;"",COUNTA(D$2:D364),"")</f>
        <v/>
      </c>
      <c r="C364" s="14">
        <f t="shared" si="16"/>
        <v>61</v>
      </c>
      <c r="D364" s="15"/>
      <c r="E364" s="16"/>
      <c r="F364" s="17" t="s">
        <v>373</v>
      </c>
      <c r="G364" s="14"/>
      <c r="H364" s="14"/>
      <c r="I364" s="4" t="str">
        <f t="shared" si="17"/>
        <v/>
      </c>
    </row>
    <row r="365" spans="2:9" outlineLevel="1" x14ac:dyDescent="0.35">
      <c r="B365" s="14" t="str">
        <f>IF(D365&lt;&gt;"",COUNTA(D$2:D365),"")</f>
        <v/>
      </c>
      <c r="C365" s="14">
        <f t="shared" si="16"/>
        <v>61</v>
      </c>
      <c r="D365" s="15"/>
      <c r="E365" s="16"/>
      <c r="F365" s="17" t="s">
        <v>374</v>
      </c>
      <c r="G365" s="14"/>
      <c r="H365" s="14"/>
      <c r="I365" s="4" t="str">
        <f t="shared" si="17"/>
        <v/>
      </c>
    </row>
    <row r="366" spans="2:9" ht="36" customHeight="1" outlineLevel="1" x14ac:dyDescent="0.35">
      <c r="B366" s="14" t="str">
        <f>IF(D366&lt;&gt;"",COUNTA(D$2:D366),"")</f>
        <v/>
      </c>
      <c r="C366" s="14">
        <f t="shared" si="16"/>
        <v>61</v>
      </c>
      <c r="D366" s="15"/>
      <c r="E366" s="16"/>
      <c r="F366" s="17" t="s">
        <v>375</v>
      </c>
      <c r="G366" s="14"/>
      <c r="H366" s="14"/>
      <c r="I366" s="4" t="str">
        <f t="shared" si="17"/>
        <v/>
      </c>
    </row>
    <row r="367" spans="2:9" ht="36" customHeight="1" outlineLevel="1" x14ac:dyDescent="0.35">
      <c r="B367" s="14">
        <f>IF(D367&lt;&gt;"",COUNTA(D$2:D367),"")</f>
        <v>62</v>
      </c>
      <c r="C367" s="14">
        <f t="shared" si="16"/>
        <v>62</v>
      </c>
      <c r="D367" s="15" t="s">
        <v>376</v>
      </c>
      <c r="E367" s="16" t="s">
        <v>10</v>
      </c>
      <c r="F367" s="17"/>
      <c r="G367" s="14" t="str">
        <f>IF(ISBLANK(F367),"B","")</f>
        <v>B</v>
      </c>
      <c r="H367" s="14" t="str">
        <f>IF(OR(I367="",I367=-1),"",IF(I367&lt;4,"Đơn giản",IF(I367&lt;8,"Trung bình","Phức tạp")))</f>
        <v>Đơn giản</v>
      </c>
      <c r="I367" s="4">
        <f t="shared" si="17"/>
        <v>3</v>
      </c>
    </row>
    <row r="368" spans="2:9" outlineLevel="1" x14ac:dyDescent="0.35">
      <c r="B368" s="14" t="str">
        <f>IF(D368&lt;&gt;"",COUNTA(D$2:D368),"")</f>
        <v/>
      </c>
      <c r="C368" s="14">
        <f t="shared" si="16"/>
        <v>62</v>
      </c>
      <c r="D368" s="15"/>
      <c r="E368" s="16"/>
      <c r="F368" s="17" t="s">
        <v>377</v>
      </c>
      <c r="G368" s="14"/>
      <c r="H368" s="14"/>
      <c r="I368" s="4" t="str">
        <f t="shared" si="17"/>
        <v/>
      </c>
    </row>
    <row r="369" spans="2:9" ht="36" customHeight="1" outlineLevel="1" x14ac:dyDescent="0.35">
      <c r="B369" s="14" t="str">
        <f>IF(D369&lt;&gt;"",COUNTA(D$2:D369),"")</f>
        <v/>
      </c>
      <c r="C369" s="14">
        <f t="shared" si="16"/>
        <v>62</v>
      </c>
      <c r="D369" s="15"/>
      <c r="E369" s="16"/>
      <c r="F369" s="17" t="s">
        <v>378</v>
      </c>
      <c r="G369" s="14"/>
      <c r="H369" s="14"/>
      <c r="I369" s="4" t="str">
        <f t="shared" si="17"/>
        <v/>
      </c>
    </row>
    <row r="370" spans="2:9" ht="36" customHeight="1" outlineLevel="1" x14ac:dyDescent="0.35">
      <c r="B370" s="14" t="str">
        <f>IF(D370&lt;&gt;"",COUNTA(D$2:D370),"")</f>
        <v/>
      </c>
      <c r="C370" s="14">
        <f t="shared" si="16"/>
        <v>62</v>
      </c>
      <c r="D370" s="15"/>
      <c r="E370" s="16"/>
      <c r="F370" s="17" t="s">
        <v>379</v>
      </c>
      <c r="G370" s="14"/>
      <c r="H370" s="14"/>
      <c r="I370" s="4" t="str">
        <f t="shared" si="17"/>
        <v/>
      </c>
    </row>
    <row r="371" spans="2:9" ht="36" customHeight="1" outlineLevel="1" x14ac:dyDescent="0.35">
      <c r="B371" s="14">
        <f>IF(D371&lt;&gt;"",COUNTA(D$2:D371),"")</f>
        <v>63</v>
      </c>
      <c r="C371" s="14">
        <f t="shared" si="16"/>
        <v>63</v>
      </c>
      <c r="D371" s="15" t="s">
        <v>380</v>
      </c>
      <c r="E371" s="16" t="s">
        <v>10</v>
      </c>
      <c r="F371" s="17"/>
      <c r="G371" s="14" t="str">
        <f>IF(ISBLANK(F371),"B","")</f>
        <v>B</v>
      </c>
      <c r="H371" s="14" t="str">
        <f>IF(OR(I371="",I371=-1),"",IF(I371&lt;4,"Đơn giản",IF(I371&lt;8,"Trung bình","Phức tạp")))</f>
        <v>Trung bình</v>
      </c>
      <c r="I371" s="4">
        <f t="shared" si="17"/>
        <v>4</v>
      </c>
    </row>
    <row r="372" spans="2:9" outlineLevel="1" x14ac:dyDescent="0.35">
      <c r="B372" s="14" t="str">
        <f>IF(D372&lt;&gt;"",COUNTA(D$2:D372),"")</f>
        <v/>
      </c>
      <c r="C372" s="14">
        <f t="shared" si="16"/>
        <v>63</v>
      </c>
      <c r="D372" s="15"/>
      <c r="E372" s="16"/>
      <c r="F372" s="17" t="s">
        <v>381</v>
      </c>
      <c r="G372" s="14"/>
      <c r="H372" s="14"/>
      <c r="I372" s="4" t="str">
        <f t="shared" si="17"/>
        <v/>
      </c>
    </row>
    <row r="373" spans="2:9" ht="36" customHeight="1" outlineLevel="1" x14ac:dyDescent="0.35">
      <c r="B373" s="14" t="str">
        <f>IF(D373&lt;&gt;"",COUNTA(D$2:D373),"")</f>
        <v/>
      </c>
      <c r="C373" s="14">
        <f t="shared" si="16"/>
        <v>63</v>
      </c>
      <c r="D373" s="15"/>
      <c r="E373" s="16"/>
      <c r="F373" s="17" t="s">
        <v>382</v>
      </c>
      <c r="G373" s="14"/>
      <c r="H373" s="14"/>
      <c r="I373" s="4" t="str">
        <f t="shared" si="17"/>
        <v/>
      </c>
    </row>
    <row r="374" spans="2:9" ht="36" customHeight="1" outlineLevel="1" x14ac:dyDescent="0.35">
      <c r="B374" s="14" t="str">
        <f>IF(D374&lt;&gt;"",COUNTA(D$2:D374),"")</f>
        <v/>
      </c>
      <c r="C374" s="14">
        <f t="shared" si="16"/>
        <v>63</v>
      </c>
      <c r="D374" s="15"/>
      <c r="E374" s="16"/>
      <c r="F374" s="17" t="s">
        <v>383</v>
      </c>
      <c r="G374" s="14"/>
      <c r="H374" s="14"/>
      <c r="I374" s="4" t="str">
        <f t="shared" si="17"/>
        <v/>
      </c>
    </row>
    <row r="375" spans="2:9" ht="36" customHeight="1" outlineLevel="1" x14ac:dyDescent="0.35">
      <c r="B375" s="14" t="str">
        <f>IF(D375&lt;&gt;"",COUNTA(D$2:D375),"")</f>
        <v/>
      </c>
      <c r="C375" s="14">
        <f t="shared" si="16"/>
        <v>63</v>
      </c>
      <c r="D375" s="15"/>
      <c r="E375" s="16"/>
      <c r="F375" s="17" t="s">
        <v>384</v>
      </c>
      <c r="G375" s="14"/>
      <c r="H375" s="14"/>
      <c r="I375" s="4" t="str">
        <f t="shared" si="17"/>
        <v/>
      </c>
    </row>
    <row r="376" spans="2:9" ht="36" customHeight="1" outlineLevel="1" x14ac:dyDescent="0.35">
      <c r="B376" s="14">
        <f>IF(D376&lt;&gt;"",COUNTA(D$2:D376),"")</f>
        <v>64</v>
      </c>
      <c r="C376" s="14">
        <f t="shared" si="16"/>
        <v>64</v>
      </c>
      <c r="D376" s="15" t="s">
        <v>385</v>
      </c>
      <c r="E376" s="16" t="s">
        <v>10</v>
      </c>
      <c r="F376" s="17"/>
      <c r="G376" s="14" t="str">
        <f>IF(ISBLANK(F376),"B","")</f>
        <v>B</v>
      </c>
      <c r="H376" s="14" t="str">
        <f>IF(OR(I376="",I376=-1),"",IF(I376&lt;4,"Đơn giản",IF(I376&lt;8,"Trung bình","Phức tạp")))</f>
        <v>Trung bình</v>
      </c>
      <c r="I376" s="4">
        <f t="shared" si="17"/>
        <v>4</v>
      </c>
    </row>
    <row r="377" spans="2:9" outlineLevel="1" x14ac:dyDescent="0.35">
      <c r="B377" s="14" t="str">
        <f>IF(D377&lt;&gt;"",COUNTA(D$2:D377),"")</f>
        <v/>
      </c>
      <c r="C377" s="14">
        <f t="shared" si="16"/>
        <v>64</v>
      </c>
      <c r="D377" s="15"/>
      <c r="E377" s="16"/>
      <c r="F377" s="17" t="s">
        <v>386</v>
      </c>
      <c r="G377" s="14"/>
      <c r="H377" s="14"/>
      <c r="I377" s="4" t="str">
        <f t="shared" si="17"/>
        <v/>
      </c>
    </row>
    <row r="378" spans="2:9" ht="36" customHeight="1" outlineLevel="1" x14ac:dyDescent="0.35">
      <c r="B378" s="14" t="str">
        <f>IF(D378&lt;&gt;"",COUNTA(D$2:D378),"")</f>
        <v/>
      </c>
      <c r="C378" s="14">
        <f t="shared" si="16"/>
        <v>64</v>
      </c>
      <c r="D378" s="15"/>
      <c r="E378" s="16"/>
      <c r="F378" s="17" t="s">
        <v>387</v>
      </c>
      <c r="G378" s="14"/>
      <c r="H378" s="14"/>
      <c r="I378" s="4" t="str">
        <f t="shared" si="17"/>
        <v/>
      </c>
    </row>
    <row r="379" spans="2:9" ht="36" customHeight="1" outlineLevel="1" x14ac:dyDescent="0.35">
      <c r="B379" s="14" t="str">
        <f>IF(D379&lt;&gt;"",COUNTA(D$2:D379),"")</f>
        <v/>
      </c>
      <c r="C379" s="14">
        <f t="shared" si="16"/>
        <v>64</v>
      </c>
      <c r="D379" s="15"/>
      <c r="E379" s="16"/>
      <c r="F379" s="17" t="s">
        <v>388</v>
      </c>
      <c r="G379" s="14"/>
      <c r="H379" s="14"/>
      <c r="I379" s="4" t="str">
        <f t="shared" si="17"/>
        <v/>
      </c>
    </row>
    <row r="380" spans="2:9" ht="36" customHeight="1" outlineLevel="1" x14ac:dyDescent="0.35">
      <c r="B380" s="14" t="str">
        <f>IF(D380&lt;&gt;"",COUNTA(D$2:D380),"")</f>
        <v/>
      </c>
      <c r="C380" s="14">
        <f t="shared" si="16"/>
        <v>64</v>
      </c>
      <c r="D380" s="15"/>
      <c r="E380" s="16"/>
      <c r="F380" s="17" t="s">
        <v>389</v>
      </c>
      <c r="G380" s="14"/>
      <c r="H380" s="14"/>
      <c r="I380" s="4" t="str">
        <f t="shared" si="17"/>
        <v/>
      </c>
    </row>
    <row r="381" spans="2:9" ht="36" customHeight="1" outlineLevel="1" x14ac:dyDescent="0.35">
      <c r="B381" s="14">
        <f>IF(D381&lt;&gt;"",COUNTA(D$2:D381),"")</f>
        <v>65</v>
      </c>
      <c r="C381" s="14">
        <f t="shared" si="16"/>
        <v>65</v>
      </c>
      <c r="D381" s="15" t="s">
        <v>390</v>
      </c>
      <c r="E381" s="16" t="s">
        <v>10</v>
      </c>
      <c r="F381" s="17"/>
      <c r="G381" s="14" t="str">
        <f>IF(ISBLANK(F381),"B","")</f>
        <v>B</v>
      </c>
      <c r="H381" s="14" t="str">
        <f>IF(OR(I381="",I381=-1),"",IF(I381&lt;4,"Đơn giản",IF(I381&lt;8,"Trung bình","Phức tạp")))</f>
        <v>Trung bình</v>
      </c>
      <c r="I381" s="4">
        <f t="shared" si="17"/>
        <v>6</v>
      </c>
    </row>
    <row r="382" spans="2:9" ht="36" customHeight="1" outlineLevel="1" x14ac:dyDescent="0.35">
      <c r="B382" s="14" t="str">
        <f>IF(D382&lt;&gt;"",COUNTA(D$2:D382),"")</f>
        <v/>
      </c>
      <c r="C382" s="14">
        <f t="shared" si="16"/>
        <v>65</v>
      </c>
      <c r="D382" s="15"/>
      <c r="E382" s="16"/>
      <c r="F382" s="17" t="s">
        <v>391</v>
      </c>
      <c r="G382" s="14"/>
      <c r="H382" s="14"/>
      <c r="I382" s="4" t="str">
        <f t="shared" si="17"/>
        <v/>
      </c>
    </row>
    <row r="383" spans="2:9" ht="36" customHeight="1" outlineLevel="1" x14ac:dyDescent="0.35">
      <c r="B383" s="14" t="str">
        <f>IF(D383&lt;&gt;"",COUNTA(D$2:D383),"")</f>
        <v/>
      </c>
      <c r="C383" s="14">
        <f t="shared" si="16"/>
        <v>65</v>
      </c>
      <c r="D383" s="15"/>
      <c r="E383" s="16"/>
      <c r="F383" s="17" t="s">
        <v>392</v>
      </c>
      <c r="G383" s="14"/>
      <c r="H383" s="14"/>
      <c r="I383" s="4" t="str">
        <f t="shared" si="17"/>
        <v/>
      </c>
    </row>
    <row r="384" spans="2:9" ht="36" customHeight="1" outlineLevel="1" x14ac:dyDescent="0.35">
      <c r="B384" s="14" t="str">
        <f>IF(D384&lt;&gt;"",COUNTA(D$2:D384),"")</f>
        <v/>
      </c>
      <c r="C384" s="14">
        <f t="shared" si="16"/>
        <v>65</v>
      </c>
      <c r="D384" s="15"/>
      <c r="E384" s="16"/>
      <c r="F384" s="17" t="s">
        <v>393</v>
      </c>
      <c r="G384" s="14"/>
      <c r="H384" s="14"/>
      <c r="I384" s="4" t="str">
        <f t="shared" si="17"/>
        <v/>
      </c>
    </row>
    <row r="385" spans="2:9" ht="36" customHeight="1" outlineLevel="1" x14ac:dyDescent="0.35">
      <c r="B385" s="14" t="str">
        <f>IF(D385&lt;&gt;"",COUNTA(D$2:D385),"")</f>
        <v/>
      </c>
      <c r="C385" s="14">
        <f t="shared" si="16"/>
        <v>65</v>
      </c>
      <c r="D385" s="15"/>
      <c r="E385" s="16"/>
      <c r="F385" s="17" t="s">
        <v>394</v>
      </c>
      <c r="G385" s="14"/>
      <c r="H385" s="14"/>
      <c r="I385" s="4" t="str">
        <f t="shared" si="17"/>
        <v/>
      </c>
    </row>
    <row r="386" spans="2:9" ht="36" customHeight="1" outlineLevel="1" x14ac:dyDescent="0.35">
      <c r="B386" s="14" t="str">
        <f>IF(D386&lt;&gt;"",COUNTA(D$2:D386),"")</f>
        <v/>
      </c>
      <c r="C386" s="14">
        <f t="shared" si="16"/>
        <v>65</v>
      </c>
      <c r="D386" s="15"/>
      <c r="E386" s="16"/>
      <c r="F386" s="17" t="s">
        <v>395</v>
      </c>
      <c r="G386" s="14"/>
      <c r="H386" s="14"/>
      <c r="I386" s="4" t="str">
        <f t="shared" si="17"/>
        <v/>
      </c>
    </row>
    <row r="387" spans="2:9" ht="36" customHeight="1" outlineLevel="1" x14ac:dyDescent="0.35">
      <c r="B387" s="14" t="str">
        <f>IF(D387&lt;&gt;"",COUNTA(D$2:D387),"")</f>
        <v/>
      </c>
      <c r="C387" s="14">
        <f t="shared" si="16"/>
        <v>65</v>
      </c>
      <c r="D387" s="15"/>
      <c r="E387" s="16"/>
      <c r="F387" s="17" t="s">
        <v>396</v>
      </c>
      <c r="G387" s="14"/>
      <c r="H387" s="14"/>
      <c r="I387" s="4" t="str">
        <f t="shared" si="17"/>
        <v/>
      </c>
    </row>
    <row r="388" spans="2:9" ht="36" customHeight="1" outlineLevel="1" x14ac:dyDescent="0.35">
      <c r="B388" s="14">
        <f>IF(D388&lt;&gt;"",COUNTA(D$2:D388),"")</f>
        <v>66</v>
      </c>
      <c r="C388" s="14">
        <f t="shared" si="16"/>
        <v>66</v>
      </c>
      <c r="D388" s="15" t="s">
        <v>397</v>
      </c>
      <c r="E388" s="16" t="s">
        <v>10</v>
      </c>
      <c r="F388" s="17"/>
      <c r="G388" s="14" t="str">
        <f>IF(ISBLANK(F388),"B","")</f>
        <v>B</v>
      </c>
      <c r="H388" s="14" t="str">
        <f>IF(OR(I388="",I388=-1),"",IF(I388&lt;4,"Đơn giản",IF(I388&lt;8,"Trung bình","Phức tạp")))</f>
        <v>Trung bình</v>
      </c>
      <c r="I388" s="4">
        <f t="shared" si="17"/>
        <v>4</v>
      </c>
    </row>
    <row r="389" spans="2:9" ht="36" customHeight="1" outlineLevel="1" x14ac:dyDescent="0.35">
      <c r="B389" s="14" t="str">
        <f>IF(D389&lt;&gt;"",COUNTA(D$2:D389),"")</f>
        <v/>
      </c>
      <c r="C389" s="14">
        <f t="shared" si="16"/>
        <v>66</v>
      </c>
      <c r="D389" s="15"/>
      <c r="E389" s="16"/>
      <c r="F389" s="17" t="s">
        <v>398</v>
      </c>
      <c r="G389" s="14"/>
      <c r="H389" s="14"/>
      <c r="I389" s="4" t="str">
        <f t="shared" si="17"/>
        <v/>
      </c>
    </row>
    <row r="390" spans="2:9" outlineLevel="1" x14ac:dyDescent="0.35">
      <c r="B390" s="14" t="str">
        <f>IF(D390&lt;&gt;"",COUNTA(D$2:D390),"")</f>
        <v/>
      </c>
      <c r="C390" s="14">
        <f t="shared" si="16"/>
        <v>66</v>
      </c>
      <c r="D390" s="15"/>
      <c r="E390" s="16"/>
      <c r="F390" s="17" t="s">
        <v>399</v>
      </c>
      <c r="G390" s="14"/>
      <c r="H390" s="14"/>
      <c r="I390" s="4" t="str">
        <f t="shared" si="17"/>
        <v/>
      </c>
    </row>
    <row r="391" spans="2:9" ht="36" customHeight="1" outlineLevel="1" x14ac:dyDescent="0.35">
      <c r="B391" s="14" t="str">
        <f>IF(D391&lt;&gt;"",COUNTA(D$2:D391),"")</f>
        <v/>
      </c>
      <c r="C391" s="14">
        <f t="shared" si="16"/>
        <v>66</v>
      </c>
      <c r="D391" s="15"/>
      <c r="E391" s="16"/>
      <c r="F391" s="17" t="s">
        <v>400</v>
      </c>
      <c r="G391" s="14"/>
      <c r="H391" s="14"/>
      <c r="I391" s="4" t="str">
        <f t="shared" si="17"/>
        <v/>
      </c>
    </row>
    <row r="392" spans="2:9" ht="36" customHeight="1" outlineLevel="1" x14ac:dyDescent="0.35">
      <c r="B392" s="14" t="str">
        <f>IF(D392&lt;&gt;"",COUNTA(D$2:D392),"")</f>
        <v/>
      </c>
      <c r="C392" s="14">
        <f t="shared" si="16"/>
        <v>66</v>
      </c>
      <c r="D392" s="15"/>
      <c r="E392" s="16"/>
      <c r="F392" s="17" t="s">
        <v>401</v>
      </c>
      <c r="G392" s="14"/>
      <c r="H392" s="14"/>
      <c r="I392" s="4" t="str">
        <f t="shared" si="17"/>
        <v/>
      </c>
    </row>
    <row r="393" spans="2:9" ht="36" customHeight="1" outlineLevel="1" x14ac:dyDescent="0.35">
      <c r="B393" s="14">
        <f>IF(D393&lt;&gt;"",COUNTA(D$2:D393),"")</f>
        <v>67</v>
      </c>
      <c r="C393" s="14">
        <f t="shared" si="16"/>
        <v>67</v>
      </c>
      <c r="D393" s="15" t="s">
        <v>402</v>
      </c>
      <c r="E393" s="16" t="s">
        <v>10</v>
      </c>
      <c r="F393" s="17"/>
      <c r="G393" s="14" t="str">
        <f>IF(ISBLANK(F393),"B","")</f>
        <v>B</v>
      </c>
      <c r="H393" s="14" t="str">
        <f>IF(OR(I393="",I393=-1),"",IF(I393&lt;4,"Đơn giản",IF(I393&lt;8,"Trung bình","Phức tạp")))</f>
        <v>Trung bình</v>
      </c>
      <c r="I393" s="4">
        <f t="shared" si="17"/>
        <v>5</v>
      </c>
    </row>
    <row r="394" spans="2:9" ht="36" customHeight="1" outlineLevel="1" x14ac:dyDescent="0.35">
      <c r="B394" s="14" t="str">
        <f>IF(D394&lt;&gt;"",COUNTA(D$2:D394),"")</f>
        <v/>
      </c>
      <c r="C394" s="14">
        <f t="shared" si="16"/>
        <v>67</v>
      </c>
      <c r="D394" s="15"/>
      <c r="E394" s="16"/>
      <c r="F394" s="17" t="s">
        <v>403</v>
      </c>
      <c r="G394" s="14"/>
      <c r="H394" s="14"/>
      <c r="I394" s="4" t="str">
        <f t="shared" si="17"/>
        <v/>
      </c>
    </row>
    <row r="395" spans="2:9" ht="36" customHeight="1" outlineLevel="1" x14ac:dyDescent="0.35">
      <c r="B395" s="14" t="str">
        <f>IF(D395&lt;&gt;"",COUNTA(D$2:D395),"")</f>
        <v/>
      </c>
      <c r="C395" s="14">
        <f t="shared" si="16"/>
        <v>67</v>
      </c>
      <c r="D395" s="15"/>
      <c r="E395" s="16"/>
      <c r="F395" s="17" t="s">
        <v>404</v>
      </c>
      <c r="G395" s="14"/>
      <c r="H395" s="14"/>
      <c r="I395" s="4" t="str">
        <f t="shared" si="17"/>
        <v/>
      </c>
    </row>
    <row r="396" spans="2:9" ht="36" customHeight="1" outlineLevel="1" x14ac:dyDescent="0.35">
      <c r="B396" s="14" t="str">
        <f>IF(D396&lt;&gt;"",COUNTA(D$2:D396),"")</f>
        <v/>
      </c>
      <c r="C396" s="14">
        <f t="shared" si="16"/>
        <v>67</v>
      </c>
      <c r="D396" s="15"/>
      <c r="E396" s="16"/>
      <c r="F396" s="17" t="s">
        <v>405</v>
      </c>
      <c r="G396" s="14"/>
      <c r="H396" s="14"/>
      <c r="I396" s="4" t="str">
        <f t="shared" si="17"/>
        <v/>
      </c>
    </row>
    <row r="397" spans="2:9" outlineLevel="1" x14ac:dyDescent="0.35">
      <c r="B397" s="14" t="str">
        <f>IF(D397&lt;&gt;"",COUNTA(D$2:D397),"")</f>
        <v/>
      </c>
      <c r="C397" s="14">
        <f t="shared" si="16"/>
        <v>67</v>
      </c>
      <c r="D397" s="15"/>
      <c r="E397" s="16"/>
      <c r="F397" s="17" t="s">
        <v>406</v>
      </c>
      <c r="G397" s="14"/>
      <c r="H397" s="14"/>
      <c r="I397" s="4" t="str">
        <f t="shared" si="17"/>
        <v/>
      </c>
    </row>
    <row r="398" spans="2:9" outlineLevel="1" x14ac:dyDescent="0.35">
      <c r="B398" s="14" t="str">
        <f>IF(D398&lt;&gt;"",COUNTA(D$2:D398),"")</f>
        <v/>
      </c>
      <c r="C398" s="14">
        <f t="shared" si="16"/>
        <v>67</v>
      </c>
      <c r="D398" s="15"/>
      <c r="E398" s="16"/>
      <c r="F398" s="17" t="s">
        <v>407</v>
      </c>
      <c r="G398" s="14"/>
      <c r="H398" s="14"/>
      <c r="I398" s="4" t="str">
        <f t="shared" si="17"/>
        <v/>
      </c>
    </row>
    <row r="399" spans="2:9" ht="36" customHeight="1" outlineLevel="1" x14ac:dyDescent="0.35">
      <c r="B399" s="14">
        <f>IF(D399&lt;&gt;"",COUNTA(D$2:D399),"")</f>
        <v>68</v>
      </c>
      <c r="C399" s="14">
        <f t="shared" si="16"/>
        <v>68</v>
      </c>
      <c r="D399" s="15" t="s">
        <v>408</v>
      </c>
      <c r="E399" s="16" t="s">
        <v>117</v>
      </c>
      <c r="F399" s="17"/>
      <c r="G399" s="14" t="str">
        <f>IF(ISBLANK(F399),"B","")</f>
        <v>B</v>
      </c>
      <c r="H399" s="14" t="str">
        <f>IF(OR(I399="",I399=-1),"",IF(I399&lt;4,"Đơn giản",IF(I399&lt;8,"Trung bình","Phức tạp")))</f>
        <v>Trung bình</v>
      </c>
      <c r="I399" s="4">
        <f t="shared" si="17"/>
        <v>6</v>
      </c>
    </row>
    <row r="400" spans="2:9" ht="36" customHeight="1" outlineLevel="1" x14ac:dyDescent="0.35">
      <c r="B400" s="14" t="str">
        <f>IF(D400&lt;&gt;"",COUNTA(D$2:D400),"")</f>
        <v/>
      </c>
      <c r="C400" s="14">
        <f t="shared" si="16"/>
        <v>68</v>
      </c>
      <c r="D400" s="15"/>
      <c r="E400" s="16"/>
      <c r="F400" s="17" t="s">
        <v>409</v>
      </c>
      <c r="G400" s="14"/>
      <c r="H400" s="14"/>
      <c r="I400" s="4" t="str">
        <f t="shared" si="17"/>
        <v/>
      </c>
    </row>
    <row r="401" spans="2:10" ht="54" customHeight="1" outlineLevel="1" x14ac:dyDescent="0.35">
      <c r="B401" s="14" t="str">
        <f>IF(D401&lt;&gt;"",COUNTA(D$2:D401),"")</f>
        <v/>
      </c>
      <c r="C401" s="14">
        <f t="shared" si="16"/>
        <v>68</v>
      </c>
      <c r="D401" s="15"/>
      <c r="E401" s="16"/>
      <c r="F401" s="17" t="s">
        <v>410</v>
      </c>
      <c r="G401" s="14"/>
      <c r="H401" s="14"/>
      <c r="I401" s="4" t="str">
        <f t="shared" si="17"/>
        <v/>
      </c>
    </row>
    <row r="402" spans="2:10" ht="54" customHeight="1" outlineLevel="1" x14ac:dyDescent="0.35">
      <c r="B402" s="14" t="str">
        <f>IF(D402&lt;&gt;"",COUNTA(D$2:D402),"")</f>
        <v/>
      </c>
      <c r="C402" s="14">
        <f t="shared" si="16"/>
        <v>68</v>
      </c>
      <c r="D402" s="15"/>
      <c r="E402" s="16"/>
      <c r="F402" s="17" t="s">
        <v>411</v>
      </c>
      <c r="G402" s="14"/>
      <c r="H402" s="14"/>
      <c r="I402" s="4" t="str">
        <f t="shared" si="17"/>
        <v/>
      </c>
    </row>
    <row r="403" spans="2:10" ht="54" customHeight="1" outlineLevel="1" x14ac:dyDescent="0.35">
      <c r="B403" s="14" t="str">
        <f>IF(D403&lt;&gt;"",COUNTA(D$2:D403),"")</f>
        <v/>
      </c>
      <c r="C403" s="14">
        <f t="shared" ref="C403:C452" si="18">IF(B403="",C402,B403)</f>
        <v>68</v>
      </c>
      <c r="D403" s="15"/>
      <c r="E403" s="16"/>
      <c r="F403" s="17" t="s">
        <v>412</v>
      </c>
      <c r="G403" s="14"/>
      <c r="H403" s="14"/>
      <c r="I403" s="4" t="str">
        <f t="shared" ref="I403:I439" si="19">IF(B403="","", COUNTIF($C:$C,B403)-1)</f>
        <v/>
      </c>
    </row>
    <row r="404" spans="2:10" ht="36" customHeight="1" outlineLevel="1" x14ac:dyDescent="0.35">
      <c r="B404" s="14" t="str">
        <f>IF(D404&lt;&gt;"",COUNTA(D$2:D404),"")</f>
        <v/>
      </c>
      <c r="C404" s="14">
        <f t="shared" si="18"/>
        <v>68</v>
      </c>
      <c r="D404" s="15"/>
      <c r="E404" s="16"/>
      <c r="F404" s="17" t="s">
        <v>413</v>
      </c>
      <c r="G404" s="14"/>
      <c r="H404" s="14"/>
      <c r="I404" s="4" t="str">
        <f t="shared" si="19"/>
        <v/>
      </c>
    </row>
    <row r="405" spans="2:10" ht="54" customHeight="1" outlineLevel="1" x14ac:dyDescent="0.35">
      <c r="B405" s="14" t="str">
        <f>IF(D405&lt;&gt;"",COUNTA(D$2:D405),"")</f>
        <v/>
      </c>
      <c r="C405" s="14">
        <f t="shared" si="18"/>
        <v>68</v>
      </c>
      <c r="D405" s="15"/>
      <c r="E405" s="16"/>
      <c r="F405" s="17" t="s">
        <v>414</v>
      </c>
      <c r="G405" s="14"/>
      <c r="H405" s="14"/>
      <c r="I405" s="4" t="str">
        <f t="shared" si="19"/>
        <v/>
      </c>
    </row>
    <row r="406" spans="2:10" ht="36" customHeight="1" outlineLevel="1" x14ac:dyDescent="0.35">
      <c r="B406" s="14">
        <f>IF(D406&lt;&gt;"",COUNTA(D$2:D406),"")</f>
        <v>69</v>
      </c>
      <c r="C406" s="14">
        <f t="shared" si="18"/>
        <v>69</v>
      </c>
      <c r="D406" s="15" t="s">
        <v>415</v>
      </c>
      <c r="E406" s="16" t="s">
        <v>117</v>
      </c>
      <c r="F406" s="17"/>
      <c r="G406" s="14" t="str">
        <f>IF(ISBLANK(F406),"B","")</f>
        <v>B</v>
      </c>
      <c r="H406" s="14" t="str">
        <f>IF(OR(I406="",I406=-1),"",IF(I406&lt;4,"Đơn giản",IF(I406&lt;8,"Trung bình","Phức tạp")))</f>
        <v>Trung bình</v>
      </c>
      <c r="I406" s="4">
        <f t="shared" si="19"/>
        <v>5</v>
      </c>
    </row>
    <row r="407" spans="2:10" ht="36" customHeight="1" outlineLevel="1" x14ac:dyDescent="0.35">
      <c r="B407" s="14" t="str">
        <f>IF(D407&lt;&gt;"",COUNTA(D$2:D407),"")</f>
        <v/>
      </c>
      <c r="C407" s="14">
        <f t="shared" si="18"/>
        <v>69</v>
      </c>
      <c r="D407" s="15"/>
      <c r="E407" s="16"/>
      <c r="F407" s="17" t="s">
        <v>416</v>
      </c>
      <c r="G407" s="14"/>
      <c r="H407" s="14"/>
      <c r="I407" s="4" t="str">
        <f t="shared" si="19"/>
        <v/>
      </c>
    </row>
    <row r="408" spans="2:10" ht="36" customHeight="1" outlineLevel="1" x14ac:dyDescent="0.35">
      <c r="B408" s="14" t="str">
        <f>IF(D408&lt;&gt;"",COUNTA(D$2:D408),"")</f>
        <v/>
      </c>
      <c r="C408" s="14">
        <f t="shared" si="18"/>
        <v>69</v>
      </c>
      <c r="D408" s="15"/>
      <c r="E408" s="16"/>
      <c r="F408" s="17" t="s">
        <v>417</v>
      </c>
      <c r="G408" s="14"/>
      <c r="H408" s="14"/>
      <c r="I408" s="4" t="str">
        <f>IF(B411="","", COUNTIF($C:$C,B411)-1)</f>
        <v/>
      </c>
    </row>
    <row r="409" spans="2:10" ht="36" customHeight="1" outlineLevel="1" x14ac:dyDescent="0.35">
      <c r="B409" s="14" t="str">
        <f>IF(D409&lt;&gt;"",COUNTA(D$2:D409),"")</f>
        <v/>
      </c>
      <c r="C409" s="14">
        <f t="shared" si="18"/>
        <v>69</v>
      </c>
      <c r="D409" s="15"/>
      <c r="E409" s="16"/>
      <c r="F409" s="17" t="s">
        <v>418</v>
      </c>
      <c r="G409" s="14"/>
      <c r="H409" s="14"/>
      <c r="I409" s="4">
        <f>IF(B412="","", COUNTIF($C:$C,B412)-1)</f>
        <v>6</v>
      </c>
    </row>
    <row r="410" spans="2:10" ht="36" customHeight="1" outlineLevel="1" x14ac:dyDescent="0.35">
      <c r="B410" s="14" t="str">
        <f>IF(D410&lt;&gt;"",COUNTA(D$2:D410),"")</f>
        <v/>
      </c>
      <c r="C410" s="14">
        <f t="shared" si="18"/>
        <v>69</v>
      </c>
      <c r="D410" s="15"/>
      <c r="E410" s="16"/>
      <c r="F410" s="17" t="s">
        <v>419</v>
      </c>
      <c r="G410" s="14"/>
      <c r="H410" s="14"/>
      <c r="I410" s="4" t="str">
        <f t="shared" ref="I410:I452" si="20">IF(B410="","", COUNTIF($C:$C,B410)-1)</f>
        <v/>
      </c>
    </row>
    <row r="411" spans="2:10" ht="36" customHeight="1" outlineLevel="1" x14ac:dyDescent="0.35">
      <c r="B411" s="14" t="str">
        <f>IF(D411&lt;&gt;"",COUNTA(D$2:D411),"")</f>
        <v/>
      </c>
      <c r="C411" s="14">
        <f t="shared" si="18"/>
        <v>69</v>
      </c>
      <c r="D411" s="15"/>
      <c r="E411" s="16"/>
      <c r="F411" s="17" t="s">
        <v>420</v>
      </c>
      <c r="G411" s="14"/>
      <c r="H411" s="14"/>
      <c r="I411" s="4" t="str">
        <f t="shared" si="20"/>
        <v/>
      </c>
      <c r="J411" s="6" t="s">
        <v>421</v>
      </c>
    </row>
    <row r="412" spans="2:10" ht="36" customHeight="1" outlineLevel="1" x14ac:dyDescent="0.35">
      <c r="B412" s="14">
        <f>IF(D412&lt;&gt;"",COUNTA(D$2:D412),"")</f>
        <v>70</v>
      </c>
      <c r="C412" s="14">
        <f t="shared" si="18"/>
        <v>70</v>
      </c>
      <c r="D412" s="15" t="s">
        <v>422</v>
      </c>
      <c r="E412" s="16" t="s">
        <v>117</v>
      </c>
      <c r="F412" s="17"/>
      <c r="G412" s="14" t="str">
        <f>IF(ISBLANK(F412),"B","")</f>
        <v>B</v>
      </c>
      <c r="H412" s="14" t="str">
        <f>IF(OR(I412="",I412=-1),"",IF(I412&lt;4,"Đơn giản",IF(I412&lt;8,"Trung bình","Phức tạp")))</f>
        <v>Trung bình</v>
      </c>
      <c r="I412" s="4">
        <f t="shared" si="20"/>
        <v>6</v>
      </c>
    </row>
    <row r="413" spans="2:10" ht="54" customHeight="1" outlineLevel="1" x14ac:dyDescent="0.35">
      <c r="B413" s="14" t="str">
        <f>IF(D413&lt;&gt;"",COUNTA(D$2:D413),"")</f>
        <v/>
      </c>
      <c r="C413" s="14">
        <f t="shared" si="18"/>
        <v>70</v>
      </c>
      <c r="D413" s="15"/>
      <c r="E413" s="16"/>
      <c r="F413" s="17" t="s">
        <v>423</v>
      </c>
      <c r="G413" s="14"/>
      <c r="H413" s="14"/>
      <c r="I413" s="4" t="str">
        <f t="shared" si="20"/>
        <v/>
      </c>
    </row>
    <row r="414" spans="2:10" ht="36" customHeight="1" outlineLevel="1" x14ac:dyDescent="0.35">
      <c r="B414" s="14" t="str">
        <f>IF(D414&lt;&gt;"",COUNTA(D$2:D414),"")</f>
        <v/>
      </c>
      <c r="C414" s="14">
        <f t="shared" si="18"/>
        <v>70</v>
      </c>
      <c r="D414" s="15"/>
      <c r="E414" s="16"/>
      <c r="F414" s="17" t="s">
        <v>424</v>
      </c>
      <c r="G414" s="14"/>
      <c r="H414" s="14"/>
      <c r="I414" s="4" t="str">
        <f t="shared" si="20"/>
        <v/>
      </c>
    </row>
    <row r="415" spans="2:10" ht="36" customHeight="1" outlineLevel="1" x14ac:dyDescent="0.35">
      <c r="B415" s="14" t="str">
        <f>IF(D415&lt;&gt;"",COUNTA(D$2:D415),"")</f>
        <v/>
      </c>
      <c r="C415" s="14">
        <f t="shared" si="18"/>
        <v>70</v>
      </c>
      <c r="D415" s="15"/>
      <c r="E415" s="16"/>
      <c r="F415" s="17" t="s">
        <v>425</v>
      </c>
      <c r="G415" s="14"/>
      <c r="H415" s="14"/>
      <c r="I415" s="4" t="str">
        <f t="shared" si="20"/>
        <v/>
      </c>
    </row>
    <row r="416" spans="2:10" ht="36" customHeight="1" outlineLevel="1" x14ac:dyDescent="0.35">
      <c r="B416" s="14" t="str">
        <f>IF(D416&lt;&gt;"",COUNTA(D$2:D416),"")</f>
        <v/>
      </c>
      <c r="C416" s="14">
        <f t="shared" si="18"/>
        <v>70</v>
      </c>
      <c r="D416" s="15"/>
      <c r="E416" s="16"/>
      <c r="F416" s="17" t="s">
        <v>426</v>
      </c>
      <c r="G416" s="14"/>
      <c r="H416" s="14"/>
      <c r="I416" s="4" t="str">
        <f t="shared" si="20"/>
        <v/>
      </c>
    </row>
    <row r="417" spans="2:9" ht="36" customHeight="1" outlineLevel="1" x14ac:dyDescent="0.35">
      <c r="B417" s="14" t="str">
        <f>IF(D417&lt;&gt;"",COUNTA(D$2:D417),"")</f>
        <v/>
      </c>
      <c r="C417" s="14">
        <f t="shared" si="18"/>
        <v>70</v>
      </c>
      <c r="D417" s="15"/>
      <c r="E417" s="16"/>
      <c r="F417" s="17" t="s">
        <v>427</v>
      </c>
      <c r="G417" s="14"/>
      <c r="H417" s="14"/>
      <c r="I417" s="4" t="str">
        <f t="shared" si="20"/>
        <v/>
      </c>
    </row>
    <row r="418" spans="2:9" ht="36" customHeight="1" outlineLevel="1" x14ac:dyDescent="0.35">
      <c r="B418" s="14" t="str">
        <f>IF(D418&lt;&gt;"",COUNTA(D$2:D418),"")</f>
        <v/>
      </c>
      <c r="C418" s="14">
        <f t="shared" si="18"/>
        <v>70</v>
      </c>
      <c r="D418" s="15"/>
      <c r="E418" s="16"/>
      <c r="F418" s="17" t="s">
        <v>428</v>
      </c>
      <c r="G418" s="14"/>
      <c r="H418" s="14"/>
      <c r="I418" s="4" t="str">
        <f t="shared" si="20"/>
        <v/>
      </c>
    </row>
    <row r="419" spans="2:9" ht="36" customHeight="1" outlineLevel="1" x14ac:dyDescent="0.35">
      <c r="B419" s="14">
        <f>IF(D419&lt;&gt;"",COUNTA(D$2:D419),"")</f>
        <v>71</v>
      </c>
      <c r="C419" s="14">
        <f t="shared" si="18"/>
        <v>71</v>
      </c>
      <c r="D419" s="15" t="s">
        <v>429</v>
      </c>
      <c r="E419" s="16" t="s">
        <v>117</v>
      </c>
      <c r="F419" s="17"/>
      <c r="G419" s="14" t="str">
        <f>IF(ISBLANK(F419),"B","")</f>
        <v>B</v>
      </c>
      <c r="H419" s="14" t="str">
        <f>IF(OR(I419="",I419=-1),"",IF(I419&lt;4,"Đơn giản",IF(I419&lt;8,"Trung bình","Phức tạp")))</f>
        <v>Trung bình</v>
      </c>
      <c r="I419" s="4">
        <f t="shared" si="20"/>
        <v>6</v>
      </c>
    </row>
    <row r="420" spans="2:9" ht="36" customHeight="1" outlineLevel="1" x14ac:dyDescent="0.35">
      <c r="B420" s="14" t="str">
        <f>IF(D420&lt;&gt;"",COUNTA(D$2:D420),"")</f>
        <v/>
      </c>
      <c r="C420" s="14">
        <f t="shared" si="18"/>
        <v>71</v>
      </c>
      <c r="D420" s="15"/>
      <c r="E420" s="16"/>
      <c r="F420" s="17" t="s">
        <v>430</v>
      </c>
      <c r="G420" s="14"/>
      <c r="H420" s="14"/>
      <c r="I420" s="4" t="str">
        <f t="shared" si="20"/>
        <v/>
      </c>
    </row>
    <row r="421" spans="2:9" ht="36" customHeight="1" outlineLevel="1" x14ac:dyDescent="0.35">
      <c r="B421" s="14" t="str">
        <f>IF(D421&lt;&gt;"",COUNTA(D$2:D421),"")</f>
        <v/>
      </c>
      <c r="C421" s="14">
        <f t="shared" si="18"/>
        <v>71</v>
      </c>
      <c r="D421" s="15"/>
      <c r="E421" s="16"/>
      <c r="F421" s="17" t="s">
        <v>431</v>
      </c>
      <c r="G421" s="14"/>
      <c r="H421" s="14"/>
      <c r="I421" s="4" t="str">
        <f t="shared" si="20"/>
        <v/>
      </c>
    </row>
    <row r="422" spans="2:9" ht="36" customHeight="1" outlineLevel="1" x14ac:dyDescent="0.35">
      <c r="B422" s="14" t="str">
        <f>IF(D422&lt;&gt;"",COUNTA(D$2:D422),"")</f>
        <v/>
      </c>
      <c r="C422" s="14">
        <f t="shared" si="18"/>
        <v>71</v>
      </c>
      <c r="D422" s="15"/>
      <c r="E422" s="16"/>
      <c r="F422" s="17" t="s">
        <v>432</v>
      </c>
      <c r="G422" s="14"/>
      <c r="H422" s="14"/>
      <c r="I422" s="4" t="str">
        <f t="shared" si="20"/>
        <v/>
      </c>
    </row>
    <row r="423" spans="2:9" ht="36" customHeight="1" outlineLevel="1" x14ac:dyDescent="0.35">
      <c r="B423" s="14" t="str">
        <f>IF(D423&lt;&gt;"",COUNTA(D$2:D423),"")</f>
        <v/>
      </c>
      <c r="C423" s="14">
        <f t="shared" si="18"/>
        <v>71</v>
      </c>
      <c r="D423" s="15"/>
      <c r="E423" s="16"/>
      <c r="F423" s="17" t="s">
        <v>433</v>
      </c>
      <c r="G423" s="14"/>
      <c r="H423" s="14"/>
      <c r="I423" s="4" t="str">
        <f t="shared" si="20"/>
        <v/>
      </c>
    </row>
    <row r="424" spans="2:9" ht="36" customHeight="1" outlineLevel="1" x14ac:dyDescent="0.35">
      <c r="B424" s="14" t="str">
        <f>IF(D424&lt;&gt;"",COUNTA(D$2:D424),"")</f>
        <v/>
      </c>
      <c r="C424" s="14">
        <f t="shared" si="18"/>
        <v>71</v>
      </c>
      <c r="D424" s="15"/>
      <c r="E424" s="16"/>
      <c r="F424" s="17" t="s">
        <v>434</v>
      </c>
      <c r="G424" s="14"/>
      <c r="H424" s="14"/>
      <c r="I424" s="4" t="str">
        <f t="shared" si="20"/>
        <v/>
      </c>
    </row>
    <row r="425" spans="2:9" ht="36" customHeight="1" outlineLevel="1" x14ac:dyDescent="0.35">
      <c r="B425" s="14" t="str">
        <f>IF(D425&lt;&gt;"",COUNTA(D$2:D425),"")</f>
        <v/>
      </c>
      <c r="C425" s="14">
        <f t="shared" si="18"/>
        <v>71</v>
      </c>
      <c r="D425" s="15"/>
      <c r="E425" s="16"/>
      <c r="F425" s="17" t="s">
        <v>435</v>
      </c>
      <c r="G425" s="14"/>
      <c r="H425" s="14"/>
      <c r="I425" s="4" t="str">
        <f t="shared" si="20"/>
        <v/>
      </c>
    </row>
    <row r="426" spans="2:9" ht="54" customHeight="1" outlineLevel="1" x14ac:dyDescent="0.35">
      <c r="B426" s="14">
        <f>IF(D426&lt;&gt;"",COUNTA(D$2:D426),"")</f>
        <v>72</v>
      </c>
      <c r="C426" s="14">
        <f t="shared" si="18"/>
        <v>72</v>
      </c>
      <c r="D426" s="15" t="s">
        <v>436</v>
      </c>
      <c r="E426" s="16" t="s">
        <v>437</v>
      </c>
      <c r="F426" s="17"/>
      <c r="G426" s="14" t="str">
        <f>IF(ISBLANK(F426),"B","")</f>
        <v>B</v>
      </c>
      <c r="H426" s="14" t="str">
        <f>IF(OR(I426="",I426=-1),"",IF(I426&lt;4,"Đơn giản",IF(I426&lt;8,"Trung bình","Phức tạp")))</f>
        <v>Phức tạp</v>
      </c>
      <c r="I426" s="4">
        <f t="shared" si="20"/>
        <v>8</v>
      </c>
    </row>
    <row r="427" spans="2:9" ht="36" customHeight="1" outlineLevel="1" x14ac:dyDescent="0.35">
      <c r="B427" s="14" t="str">
        <f>IF(D427&lt;&gt;"",COUNTA(D$2:D427),"")</f>
        <v/>
      </c>
      <c r="C427" s="14">
        <f t="shared" si="18"/>
        <v>72</v>
      </c>
      <c r="D427" s="15"/>
      <c r="E427" s="16"/>
      <c r="F427" s="17" t="s">
        <v>438</v>
      </c>
      <c r="G427" s="14"/>
      <c r="H427" s="14"/>
      <c r="I427" s="4" t="str">
        <f t="shared" si="20"/>
        <v/>
      </c>
    </row>
    <row r="428" spans="2:9" ht="36" customHeight="1" outlineLevel="1" x14ac:dyDescent="0.35">
      <c r="B428" s="14" t="str">
        <f>IF(D428&lt;&gt;"",COUNTA(D$2:D428),"")</f>
        <v/>
      </c>
      <c r="C428" s="14">
        <f t="shared" si="18"/>
        <v>72</v>
      </c>
      <c r="D428" s="15"/>
      <c r="E428" s="16"/>
      <c r="F428" s="17" t="s">
        <v>439</v>
      </c>
      <c r="G428" s="14"/>
      <c r="H428" s="14"/>
      <c r="I428" s="4" t="str">
        <f t="shared" si="20"/>
        <v/>
      </c>
    </row>
    <row r="429" spans="2:9" outlineLevel="1" x14ac:dyDescent="0.35">
      <c r="B429" s="14" t="str">
        <f>IF(D429&lt;&gt;"",COUNTA(D$2:D429),"")</f>
        <v/>
      </c>
      <c r="C429" s="14">
        <f t="shared" si="18"/>
        <v>72</v>
      </c>
      <c r="D429" s="15"/>
      <c r="E429" s="16"/>
      <c r="F429" s="17" t="s">
        <v>440</v>
      </c>
      <c r="G429" s="14"/>
      <c r="H429" s="14"/>
      <c r="I429" s="4" t="str">
        <f t="shared" si="20"/>
        <v/>
      </c>
    </row>
    <row r="430" spans="2:9" ht="36" customHeight="1" outlineLevel="1" x14ac:dyDescent="0.35">
      <c r="B430" s="14" t="str">
        <f>IF(D430&lt;&gt;"",COUNTA(D$2:D430),"")</f>
        <v/>
      </c>
      <c r="C430" s="14">
        <f t="shared" si="18"/>
        <v>72</v>
      </c>
      <c r="D430" s="15"/>
      <c r="E430" s="16"/>
      <c r="F430" s="17" t="s">
        <v>441</v>
      </c>
      <c r="G430" s="14"/>
      <c r="H430" s="14"/>
      <c r="I430" s="4" t="str">
        <f t="shared" si="20"/>
        <v/>
      </c>
    </row>
    <row r="431" spans="2:9" ht="36" customHeight="1" outlineLevel="1" x14ac:dyDescent="0.35">
      <c r="B431" s="14" t="str">
        <f>IF(D431&lt;&gt;"",COUNTA(D$2:D431),"")</f>
        <v/>
      </c>
      <c r="C431" s="14">
        <f t="shared" si="18"/>
        <v>72</v>
      </c>
      <c r="D431" s="15"/>
      <c r="E431" s="16"/>
      <c r="F431" s="17" t="s">
        <v>442</v>
      </c>
      <c r="G431" s="14"/>
      <c r="H431" s="14"/>
      <c r="I431" s="4" t="str">
        <f t="shared" si="20"/>
        <v/>
      </c>
    </row>
    <row r="432" spans="2:9" ht="36" customHeight="1" outlineLevel="1" x14ac:dyDescent="0.35">
      <c r="B432" s="14" t="str">
        <f>IF(D432&lt;&gt;"",COUNTA(D$2:D432),"")</f>
        <v/>
      </c>
      <c r="C432" s="14">
        <f t="shared" si="18"/>
        <v>72</v>
      </c>
      <c r="D432" s="15"/>
      <c r="E432" s="16"/>
      <c r="F432" s="17" t="s">
        <v>443</v>
      </c>
      <c r="G432" s="14"/>
      <c r="H432" s="14"/>
      <c r="I432" s="4" t="str">
        <f t="shared" si="20"/>
        <v/>
      </c>
    </row>
    <row r="433" spans="2:9" ht="54" customHeight="1" outlineLevel="1" x14ac:dyDescent="0.35">
      <c r="B433" s="14" t="str">
        <f>IF(D433&lt;&gt;"",COUNTA(D$2:D433),"")</f>
        <v/>
      </c>
      <c r="C433" s="14">
        <f t="shared" si="18"/>
        <v>72</v>
      </c>
      <c r="D433" s="15"/>
      <c r="E433" s="16"/>
      <c r="F433" s="17" t="s">
        <v>444</v>
      </c>
      <c r="G433" s="14"/>
      <c r="H433" s="14"/>
      <c r="I433" s="4" t="str">
        <f t="shared" si="20"/>
        <v/>
      </c>
    </row>
    <row r="434" spans="2:9" ht="54" customHeight="1" outlineLevel="1" x14ac:dyDescent="0.35">
      <c r="B434" s="14" t="str">
        <f>IF(D434&lt;&gt;"",COUNTA(D$2:D434),"")</f>
        <v/>
      </c>
      <c r="C434" s="14">
        <f t="shared" si="18"/>
        <v>72</v>
      </c>
      <c r="D434" s="15"/>
      <c r="E434" s="16"/>
      <c r="F434" s="17" t="s">
        <v>445</v>
      </c>
      <c r="G434" s="14"/>
      <c r="H434" s="14"/>
      <c r="I434" s="4" t="str">
        <f t="shared" si="20"/>
        <v/>
      </c>
    </row>
    <row r="435" spans="2:9" ht="36" customHeight="1" outlineLevel="1" x14ac:dyDescent="0.35">
      <c r="B435" s="14">
        <f>IF(D435&lt;&gt;"",COUNTA(D$2:D435),"")</f>
        <v>73</v>
      </c>
      <c r="C435" s="14">
        <f t="shared" si="18"/>
        <v>73</v>
      </c>
      <c r="D435" s="15" t="s">
        <v>446</v>
      </c>
      <c r="E435" s="16" t="s">
        <v>437</v>
      </c>
      <c r="F435" s="17"/>
      <c r="G435" s="14" t="str">
        <f>IF(ISBLANK(F435),"B","")</f>
        <v>B</v>
      </c>
      <c r="H435" s="14" t="str">
        <f>IF(OR(I435="",I435=-1),"",IF(I435&lt;4,"Đơn giản",IF(I435&lt;8,"Trung bình","Phức tạp")))</f>
        <v>Trung bình</v>
      </c>
      <c r="I435" s="4">
        <f t="shared" si="20"/>
        <v>4</v>
      </c>
    </row>
    <row r="436" spans="2:9" ht="36" customHeight="1" outlineLevel="1" x14ac:dyDescent="0.35">
      <c r="B436" s="14" t="str">
        <f>IF(D436&lt;&gt;"",COUNTA(D$2:D436),"")</f>
        <v/>
      </c>
      <c r="C436" s="14">
        <f t="shared" si="18"/>
        <v>73</v>
      </c>
      <c r="D436" s="15"/>
      <c r="E436" s="16"/>
      <c r="F436" s="17" t="s">
        <v>447</v>
      </c>
      <c r="G436" s="14"/>
      <c r="H436" s="14"/>
      <c r="I436" s="4" t="str">
        <f t="shared" si="20"/>
        <v/>
      </c>
    </row>
    <row r="437" spans="2:9" ht="36" customHeight="1" outlineLevel="1" x14ac:dyDescent="0.35">
      <c r="B437" s="14" t="str">
        <f>IF(D437&lt;&gt;"",COUNTA(D$2:D437),"")</f>
        <v/>
      </c>
      <c r="C437" s="14">
        <f t="shared" si="18"/>
        <v>73</v>
      </c>
      <c r="D437" s="15"/>
      <c r="E437" s="16"/>
      <c r="F437" s="17" t="s">
        <v>448</v>
      </c>
      <c r="G437" s="14"/>
      <c r="H437" s="14"/>
      <c r="I437" s="4" t="str">
        <f t="shared" si="20"/>
        <v/>
      </c>
    </row>
    <row r="438" spans="2:9" ht="36" customHeight="1" outlineLevel="1" x14ac:dyDescent="0.35">
      <c r="B438" s="14" t="str">
        <f>IF(D438&lt;&gt;"",COUNTA(D$2:D438),"")</f>
        <v/>
      </c>
      <c r="C438" s="14">
        <f t="shared" si="18"/>
        <v>73</v>
      </c>
      <c r="D438" s="15"/>
      <c r="E438" s="16"/>
      <c r="F438" s="17" t="s">
        <v>449</v>
      </c>
      <c r="G438" s="14"/>
      <c r="H438" s="14"/>
      <c r="I438" s="4" t="str">
        <f t="shared" si="20"/>
        <v/>
      </c>
    </row>
    <row r="439" spans="2:9" ht="36" customHeight="1" outlineLevel="1" x14ac:dyDescent="0.35">
      <c r="B439" s="14" t="str">
        <f>IF(D439&lt;&gt;"",COUNTA(D$2:D439),"")</f>
        <v/>
      </c>
      <c r="C439" s="14">
        <f t="shared" si="18"/>
        <v>73</v>
      </c>
      <c r="D439" s="15"/>
      <c r="E439" s="16"/>
      <c r="F439" s="17" t="s">
        <v>450</v>
      </c>
      <c r="G439" s="14"/>
      <c r="H439" s="14"/>
      <c r="I439" s="4" t="str">
        <f t="shared" si="20"/>
        <v/>
      </c>
    </row>
    <row r="440" spans="2:9" ht="36" customHeight="1" outlineLevel="1" x14ac:dyDescent="0.35">
      <c r="B440" s="14">
        <f>IF(D440&lt;&gt;"",COUNTA(D$2:D440),"")</f>
        <v>74</v>
      </c>
      <c r="C440" s="14">
        <f t="shared" si="18"/>
        <v>74</v>
      </c>
      <c r="D440" s="15" t="s">
        <v>451</v>
      </c>
      <c r="E440" s="16" t="s">
        <v>10</v>
      </c>
      <c r="F440" s="17"/>
      <c r="G440" s="14" t="str">
        <f>IF(ISBLANK(F440),"B","")</f>
        <v>B</v>
      </c>
      <c r="H440" s="14" t="str">
        <f>IF(OR(I440="",I440=-1),"",IF(I440&lt;4,"Đơn giản",IF(I440&lt;8,"Trung bình","Phức tạp")))</f>
        <v>Phức tạp</v>
      </c>
      <c r="I440" s="4">
        <f t="shared" si="20"/>
        <v>9</v>
      </c>
    </row>
    <row r="441" spans="2:9" ht="36" customHeight="1" outlineLevel="1" x14ac:dyDescent="0.35">
      <c r="B441" s="14" t="str">
        <f>IF(D441&lt;&gt;"",COUNTA(D$2:D441),"")</f>
        <v/>
      </c>
      <c r="C441" s="14">
        <f t="shared" si="18"/>
        <v>74</v>
      </c>
      <c r="D441" s="15"/>
      <c r="E441" s="16"/>
      <c r="F441" s="17" t="s">
        <v>452</v>
      </c>
      <c r="G441" s="14"/>
      <c r="H441" s="14"/>
      <c r="I441" s="4" t="str">
        <f t="shared" si="20"/>
        <v/>
      </c>
    </row>
    <row r="442" spans="2:9" ht="54" customHeight="1" outlineLevel="1" x14ac:dyDescent="0.35">
      <c r="B442" s="14" t="str">
        <f>IF(D442&lt;&gt;"",COUNTA(D$2:D442),"")</f>
        <v/>
      </c>
      <c r="C442" s="14">
        <f t="shared" si="18"/>
        <v>74</v>
      </c>
      <c r="D442" s="15"/>
      <c r="E442" s="16"/>
      <c r="F442" s="17" t="s">
        <v>453</v>
      </c>
      <c r="G442" s="14"/>
      <c r="H442" s="14"/>
      <c r="I442" s="4" t="str">
        <f t="shared" si="20"/>
        <v/>
      </c>
    </row>
    <row r="443" spans="2:9" ht="36" customHeight="1" outlineLevel="1" x14ac:dyDescent="0.35">
      <c r="B443" s="14" t="str">
        <f>IF(D443&lt;&gt;"",COUNTA(D$2:D443),"")</f>
        <v/>
      </c>
      <c r="C443" s="14">
        <f t="shared" si="18"/>
        <v>74</v>
      </c>
      <c r="D443" s="15"/>
      <c r="E443" s="16"/>
      <c r="F443" s="17" t="s">
        <v>454</v>
      </c>
      <c r="G443" s="14"/>
      <c r="H443" s="14"/>
      <c r="I443" s="4" t="str">
        <f t="shared" si="20"/>
        <v/>
      </c>
    </row>
    <row r="444" spans="2:9" ht="54" customHeight="1" outlineLevel="1" x14ac:dyDescent="0.35">
      <c r="B444" s="14" t="str">
        <f>IF(D444&lt;&gt;"",COUNTA(D$2:D444),"")</f>
        <v/>
      </c>
      <c r="C444" s="14">
        <f t="shared" si="18"/>
        <v>74</v>
      </c>
      <c r="D444" s="15"/>
      <c r="E444" s="16"/>
      <c r="F444" s="17" t="s">
        <v>455</v>
      </c>
      <c r="G444" s="14"/>
      <c r="H444" s="14"/>
      <c r="I444" s="4" t="str">
        <f t="shared" si="20"/>
        <v/>
      </c>
    </row>
    <row r="445" spans="2:9" ht="54" customHeight="1" outlineLevel="1" x14ac:dyDescent="0.35">
      <c r="B445" s="14" t="str">
        <f>IF(D445&lt;&gt;"",COUNTA(D$2:D445),"")</f>
        <v/>
      </c>
      <c r="C445" s="14">
        <f t="shared" si="18"/>
        <v>74</v>
      </c>
      <c r="D445" s="15"/>
      <c r="E445" s="16"/>
      <c r="F445" s="17" t="s">
        <v>456</v>
      </c>
      <c r="G445" s="14"/>
      <c r="H445" s="14"/>
      <c r="I445" s="4" t="str">
        <f t="shared" si="20"/>
        <v/>
      </c>
    </row>
    <row r="446" spans="2:9" ht="54" customHeight="1" outlineLevel="1" x14ac:dyDescent="0.35">
      <c r="B446" s="14" t="str">
        <f>IF(D446&lt;&gt;"",COUNTA(D$2:D446),"")</f>
        <v/>
      </c>
      <c r="C446" s="14">
        <f t="shared" si="18"/>
        <v>74</v>
      </c>
      <c r="D446" s="15"/>
      <c r="E446" s="16"/>
      <c r="F446" s="17" t="s">
        <v>457</v>
      </c>
      <c r="G446" s="14"/>
      <c r="H446" s="14"/>
      <c r="I446" s="4" t="str">
        <f t="shared" si="20"/>
        <v/>
      </c>
    </row>
    <row r="447" spans="2:9" ht="36" customHeight="1" outlineLevel="1" x14ac:dyDescent="0.35">
      <c r="B447" s="14" t="str">
        <f>IF(D447&lt;&gt;"",COUNTA(D$2:D447),"")</f>
        <v/>
      </c>
      <c r="C447" s="14">
        <f t="shared" si="18"/>
        <v>74</v>
      </c>
      <c r="D447" s="15"/>
      <c r="E447" s="16"/>
      <c r="F447" s="17" t="s">
        <v>458</v>
      </c>
      <c r="G447" s="14"/>
      <c r="H447" s="14"/>
      <c r="I447" s="4" t="str">
        <f t="shared" si="20"/>
        <v/>
      </c>
    </row>
    <row r="448" spans="2:9" ht="54" customHeight="1" outlineLevel="1" x14ac:dyDescent="0.35">
      <c r="B448" s="14" t="str">
        <f>IF(D448&lt;&gt;"",COUNTA(D$2:D448),"")</f>
        <v/>
      </c>
      <c r="C448" s="14">
        <f t="shared" si="18"/>
        <v>74</v>
      </c>
      <c r="D448" s="15"/>
      <c r="E448" s="16"/>
      <c r="F448" s="17" t="s">
        <v>459</v>
      </c>
      <c r="G448" s="14"/>
      <c r="H448" s="14"/>
      <c r="I448" s="4" t="str">
        <f t="shared" si="20"/>
        <v/>
      </c>
    </row>
    <row r="449" spans="2:10" ht="36" customHeight="1" outlineLevel="1" x14ac:dyDescent="0.35">
      <c r="B449" s="14" t="str">
        <f>IF(D449&lt;&gt;"",COUNTA(D$2:D449),"")</f>
        <v/>
      </c>
      <c r="C449" s="14">
        <f t="shared" si="18"/>
        <v>74</v>
      </c>
      <c r="D449" s="15"/>
      <c r="E449" s="16"/>
      <c r="F449" s="17" t="s">
        <v>460</v>
      </c>
      <c r="G449" s="14"/>
      <c r="H449" s="14"/>
      <c r="I449" s="4" t="str">
        <f t="shared" si="20"/>
        <v/>
      </c>
    </row>
    <row r="450" spans="2:10" ht="36" customHeight="1" outlineLevel="1" x14ac:dyDescent="0.35">
      <c r="B450" s="14">
        <f>IF(D450&lt;&gt;"",COUNTA(D$2:D450),"")</f>
        <v>75</v>
      </c>
      <c r="C450" s="14">
        <f t="shared" si="18"/>
        <v>75</v>
      </c>
      <c r="D450" s="15" t="s">
        <v>461</v>
      </c>
      <c r="E450" s="16" t="s">
        <v>10</v>
      </c>
      <c r="F450" s="17"/>
      <c r="G450" s="14" t="str">
        <f>IF(ISBLANK(F450),"B","")</f>
        <v>B</v>
      </c>
      <c r="H450" s="14" t="str">
        <f>IF(OR(I450="",I450=-1),"",IF(I450&lt;4,"Đơn giản",IF(I450&lt;8,"Trung bình","Phức tạp")))</f>
        <v>Đơn giản</v>
      </c>
      <c r="I450" s="4">
        <f t="shared" si="20"/>
        <v>2</v>
      </c>
    </row>
    <row r="451" spans="2:10" ht="54" customHeight="1" outlineLevel="1" x14ac:dyDescent="0.35">
      <c r="B451" s="14" t="str">
        <f>IF(D451&lt;&gt;"",COUNTA(D$2:D451),"")</f>
        <v/>
      </c>
      <c r="C451" s="14">
        <f t="shared" si="18"/>
        <v>75</v>
      </c>
      <c r="D451" s="15"/>
      <c r="E451" s="16"/>
      <c r="F451" s="17" t="s">
        <v>462</v>
      </c>
      <c r="G451" s="14"/>
      <c r="H451" s="14"/>
      <c r="I451" s="4" t="str">
        <f t="shared" si="20"/>
        <v/>
      </c>
      <c r="J451" s="6" t="s">
        <v>421</v>
      </c>
    </row>
    <row r="452" spans="2:10" ht="90" customHeight="1" outlineLevel="1" x14ac:dyDescent="0.35">
      <c r="B452" s="14" t="str">
        <f>IF(D452&lt;&gt;"",COUNTA(D$2:D452),"")</f>
        <v/>
      </c>
      <c r="C452" s="14">
        <f t="shared" si="18"/>
        <v>75</v>
      </c>
      <c r="D452" s="15"/>
      <c r="E452" s="16"/>
      <c r="F452" s="17" t="s">
        <v>463</v>
      </c>
      <c r="G452" s="14"/>
      <c r="H452" s="14"/>
      <c r="I452" s="4" t="str">
        <f t="shared" si="20"/>
        <v/>
      </c>
    </row>
    <row r="453" spans="2:10" x14ac:dyDescent="0.35">
      <c r="B453" s="11" t="s">
        <v>464</v>
      </c>
      <c r="C453" s="8"/>
      <c r="D453" s="8"/>
      <c r="E453" s="8"/>
      <c r="F453" s="9"/>
      <c r="G453" s="12"/>
      <c r="H453" s="13"/>
      <c r="I453" s="4"/>
    </row>
    <row r="454" spans="2:10" ht="36" customHeight="1" outlineLevel="1" x14ac:dyDescent="0.35">
      <c r="B454" s="14">
        <f>IF(D454&lt;&gt;"",COUNTA(D$2:D454),"")</f>
        <v>76</v>
      </c>
      <c r="C454" s="14">
        <f t="shared" ref="C454:C485" si="21">IF(B454="",C453,B454)</f>
        <v>76</v>
      </c>
      <c r="D454" s="17" t="s">
        <v>465</v>
      </c>
      <c r="E454" s="16" t="s">
        <v>10</v>
      </c>
      <c r="F454" s="17"/>
      <c r="G454" s="14" t="str">
        <f>IF(ISBLANK(F454),"B","")</f>
        <v>B</v>
      </c>
      <c r="H454" s="14" t="str">
        <f>IF(OR(I454="",I454=-1),"",IF(I454&lt;4,"Đơn giản",IF(I454&lt;8,"Trung bình","Phức tạp")))</f>
        <v>Phức tạp</v>
      </c>
      <c r="I454" s="4">
        <f t="shared" ref="I454:I485" si="22">IF(B454="","", COUNTIF($C:$C,B454)-1)</f>
        <v>11</v>
      </c>
    </row>
    <row r="455" spans="2:10" ht="36" customHeight="1" outlineLevel="1" x14ac:dyDescent="0.35">
      <c r="B455" s="14" t="str">
        <f>IF(D455&lt;&gt;"",COUNTA(D$2:D455),"")</f>
        <v/>
      </c>
      <c r="C455" s="14">
        <f t="shared" si="21"/>
        <v>76</v>
      </c>
      <c r="D455" s="17"/>
      <c r="E455" s="16"/>
      <c r="F455" s="17" t="s">
        <v>466</v>
      </c>
      <c r="G455" s="14"/>
      <c r="H455" s="14"/>
      <c r="I455" s="4" t="str">
        <f t="shared" si="22"/>
        <v/>
      </c>
    </row>
    <row r="456" spans="2:10" outlineLevel="1" x14ac:dyDescent="0.35">
      <c r="B456" s="14" t="str">
        <f>IF(D456&lt;&gt;"",COUNTA(D$2:D456),"")</f>
        <v/>
      </c>
      <c r="C456" s="14">
        <f t="shared" si="21"/>
        <v>76</v>
      </c>
      <c r="D456" s="17"/>
      <c r="E456" s="16"/>
      <c r="F456" s="17" t="s">
        <v>467</v>
      </c>
      <c r="G456" s="14"/>
      <c r="H456" s="14"/>
      <c r="I456" s="4" t="str">
        <f t="shared" si="22"/>
        <v/>
      </c>
    </row>
    <row r="457" spans="2:10" ht="36" customHeight="1" outlineLevel="1" x14ac:dyDescent="0.35">
      <c r="B457" s="14" t="str">
        <f>IF(D457&lt;&gt;"",COUNTA(D$2:D457),"")</f>
        <v/>
      </c>
      <c r="C457" s="14">
        <f t="shared" si="21"/>
        <v>76</v>
      </c>
      <c r="D457" s="17"/>
      <c r="E457" s="16"/>
      <c r="F457" s="17" t="s">
        <v>468</v>
      </c>
      <c r="G457" s="14"/>
      <c r="H457" s="14"/>
      <c r="I457" s="4" t="str">
        <f t="shared" si="22"/>
        <v/>
      </c>
    </row>
    <row r="458" spans="2:10" ht="36" customHeight="1" outlineLevel="1" x14ac:dyDescent="0.35">
      <c r="B458" s="14" t="str">
        <f>IF(D458&lt;&gt;"",COUNTA(D$2:D458),"")</f>
        <v/>
      </c>
      <c r="C458" s="14">
        <f t="shared" si="21"/>
        <v>76</v>
      </c>
      <c r="D458" s="17"/>
      <c r="E458" s="16"/>
      <c r="F458" s="17" t="s">
        <v>469</v>
      </c>
      <c r="G458" s="14"/>
      <c r="H458" s="14"/>
      <c r="I458" s="4" t="str">
        <f t="shared" si="22"/>
        <v/>
      </c>
    </row>
    <row r="459" spans="2:10" ht="36" customHeight="1" outlineLevel="1" x14ac:dyDescent="0.35">
      <c r="B459" s="14" t="str">
        <f>IF(D459&lt;&gt;"",COUNTA(D$2:D459),"")</f>
        <v/>
      </c>
      <c r="C459" s="14">
        <f t="shared" si="21"/>
        <v>76</v>
      </c>
      <c r="D459" s="17"/>
      <c r="E459" s="16"/>
      <c r="F459" s="17" t="s">
        <v>470</v>
      </c>
      <c r="G459" s="14"/>
      <c r="H459" s="14"/>
      <c r="I459" s="4" t="str">
        <f t="shared" si="22"/>
        <v/>
      </c>
    </row>
    <row r="460" spans="2:10" outlineLevel="1" x14ac:dyDescent="0.35">
      <c r="B460" s="14" t="str">
        <f>IF(D460&lt;&gt;"",COUNTA(D$2:D460),"")</f>
        <v/>
      </c>
      <c r="C460" s="14">
        <f t="shared" si="21"/>
        <v>76</v>
      </c>
      <c r="D460" s="30"/>
      <c r="E460" s="31"/>
      <c r="F460" s="17" t="s">
        <v>471</v>
      </c>
      <c r="G460" s="14"/>
      <c r="H460" s="14"/>
      <c r="I460" s="4" t="str">
        <f t="shared" si="22"/>
        <v/>
      </c>
    </row>
    <row r="461" spans="2:10" outlineLevel="1" x14ac:dyDescent="0.35">
      <c r="B461" s="14" t="str">
        <f>IF(D461&lt;&gt;"",COUNTA(D$2:D461),"")</f>
        <v/>
      </c>
      <c r="C461" s="14">
        <f t="shared" si="21"/>
        <v>76</v>
      </c>
      <c r="D461" s="30"/>
      <c r="E461" s="31"/>
      <c r="F461" s="17" t="s">
        <v>472</v>
      </c>
      <c r="G461" s="14"/>
      <c r="H461" s="14"/>
      <c r="I461" s="4" t="str">
        <f t="shared" si="22"/>
        <v/>
      </c>
    </row>
    <row r="462" spans="2:10" outlineLevel="1" x14ac:dyDescent="0.35">
      <c r="B462" s="14" t="str">
        <f>IF(D462&lt;&gt;"",COUNTA(D$2:D462),"")</f>
        <v/>
      </c>
      <c r="C462" s="14">
        <f t="shared" si="21"/>
        <v>76</v>
      </c>
      <c r="D462" s="30"/>
      <c r="E462" s="31"/>
      <c r="F462" s="17" t="s">
        <v>473</v>
      </c>
      <c r="G462" s="14"/>
      <c r="H462" s="14"/>
      <c r="I462" s="4" t="str">
        <f t="shared" si="22"/>
        <v/>
      </c>
    </row>
    <row r="463" spans="2:10" outlineLevel="1" x14ac:dyDescent="0.35">
      <c r="B463" s="14" t="str">
        <f>IF(D463&lt;&gt;"",COUNTA(D$2:D463),"")</f>
        <v/>
      </c>
      <c r="C463" s="14">
        <f t="shared" si="21"/>
        <v>76</v>
      </c>
      <c r="D463" s="32"/>
      <c r="E463" s="33"/>
      <c r="F463" s="17" t="s">
        <v>474</v>
      </c>
      <c r="G463" s="14"/>
      <c r="H463" s="14"/>
      <c r="I463" s="4" t="str">
        <f t="shared" si="22"/>
        <v/>
      </c>
    </row>
    <row r="464" spans="2:10" outlineLevel="1" x14ac:dyDescent="0.35">
      <c r="B464" s="14" t="str">
        <f>IF(D464&lt;&gt;"",COUNTA(D$2:D464),"")</f>
        <v/>
      </c>
      <c r="C464" s="14">
        <f t="shared" si="21"/>
        <v>76</v>
      </c>
      <c r="D464" s="30"/>
      <c r="E464" s="31"/>
      <c r="F464" s="17" t="s">
        <v>475</v>
      </c>
      <c r="G464" s="14"/>
      <c r="H464" s="14"/>
      <c r="I464" s="4" t="str">
        <f t="shared" si="22"/>
        <v/>
      </c>
    </row>
    <row r="465" spans="2:9" outlineLevel="1" x14ac:dyDescent="0.35">
      <c r="B465" s="14" t="str">
        <f>IF(D465&lt;&gt;"",COUNTA(D$2:D465),"")</f>
        <v/>
      </c>
      <c r="C465" s="14">
        <f t="shared" si="21"/>
        <v>76</v>
      </c>
      <c r="D465" s="30"/>
      <c r="E465" s="31"/>
      <c r="F465" s="17" t="s">
        <v>476</v>
      </c>
      <c r="G465" s="14"/>
      <c r="H465" s="14"/>
      <c r="I465" s="4" t="str">
        <f t="shared" si="22"/>
        <v/>
      </c>
    </row>
    <row r="466" spans="2:9" ht="36" customHeight="1" outlineLevel="1" x14ac:dyDescent="0.35">
      <c r="B466" s="14">
        <f>IF(D466&lt;&gt;"",COUNTA(D$2:D466),"")</f>
        <v>77</v>
      </c>
      <c r="C466" s="14">
        <f t="shared" si="21"/>
        <v>77</v>
      </c>
      <c r="D466" s="17" t="s">
        <v>477</v>
      </c>
      <c r="E466" s="16" t="s">
        <v>10</v>
      </c>
      <c r="F466" s="32"/>
      <c r="G466" s="14" t="str">
        <f>IF(ISBLANK(F466),"B","")</f>
        <v>B</v>
      </c>
      <c r="H466" s="14" t="str">
        <f>IF(OR(I466="",I466=-1),"",IF(I466&lt;4,"Đơn giản",IF(I466&lt;8,"Trung bình","Phức tạp")))</f>
        <v>Phức tạp</v>
      </c>
      <c r="I466" s="4">
        <f t="shared" si="22"/>
        <v>11</v>
      </c>
    </row>
    <row r="467" spans="2:9" outlineLevel="1" x14ac:dyDescent="0.35">
      <c r="B467" s="14" t="str">
        <f>IF(D467&lt;&gt;"",COUNTA(D$2:D467),"")</f>
        <v/>
      </c>
      <c r="C467" s="14">
        <f t="shared" si="21"/>
        <v>77</v>
      </c>
      <c r="D467" s="30"/>
      <c r="E467" s="31"/>
      <c r="F467" s="17" t="s">
        <v>478</v>
      </c>
      <c r="G467" s="14"/>
      <c r="H467" s="14"/>
      <c r="I467" s="4" t="str">
        <f t="shared" si="22"/>
        <v/>
      </c>
    </row>
    <row r="468" spans="2:9" outlineLevel="1" x14ac:dyDescent="0.35">
      <c r="B468" s="14" t="str">
        <f>IF(D468&lt;&gt;"",COUNTA(D$2:D468),"")</f>
        <v/>
      </c>
      <c r="C468" s="14">
        <f t="shared" si="21"/>
        <v>77</v>
      </c>
      <c r="D468" s="32"/>
      <c r="E468" s="33"/>
      <c r="F468" s="17" t="s">
        <v>479</v>
      </c>
      <c r="G468" s="14"/>
      <c r="H468" s="14"/>
      <c r="I468" s="4" t="str">
        <f t="shared" si="22"/>
        <v/>
      </c>
    </row>
    <row r="469" spans="2:9" ht="36" customHeight="1" outlineLevel="1" x14ac:dyDescent="0.35">
      <c r="B469" s="14" t="str">
        <f>IF(D469&lt;&gt;"",COUNTA(D$2:D469),"")</f>
        <v/>
      </c>
      <c r="C469" s="14">
        <f t="shared" si="21"/>
        <v>77</v>
      </c>
      <c r="D469" s="30"/>
      <c r="E469" s="31"/>
      <c r="F469" s="17" t="s">
        <v>480</v>
      </c>
      <c r="G469" s="14"/>
      <c r="H469" s="14"/>
      <c r="I469" s="4" t="str">
        <f t="shared" si="22"/>
        <v/>
      </c>
    </row>
    <row r="470" spans="2:9" outlineLevel="1" x14ac:dyDescent="0.35">
      <c r="B470" s="14" t="str">
        <f>IF(D470&lt;&gt;"",COUNTA(D$2:D470),"")</f>
        <v/>
      </c>
      <c r="C470" s="14">
        <f t="shared" si="21"/>
        <v>77</v>
      </c>
      <c r="D470" s="30"/>
      <c r="E470" s="31"/>
      <c r="F470" s="17" t="s">
        <v>481</v>
      </c>
      <c r="G470" s="14"/>
      <c r="H470" s="14"/>
      <c r="I470" s="4" t="str">
        <f t="shared" si="22"/>
        <v/>
      </c>
    </row>
    <row r="471" spans="2:9" outlineLevel="1" x14ac:dyDescent="0.35">
      <c r="B471" s="14" t="str">
        <f>IF(D471&lt;&gt;"",COUNTA(D$2:D471),"")</f>
        <v/>
      </c>
      <c r="C471" s="14">
        <f t="shared" si="21"/>
        <v>77</v>
      </c>
      <c r="D471" s="34"/>
      <c r="E471" s="34"/>
      <c r="F471" s="17" t="s">
        <v>482</v>
      </c>
      <c r="G471" s="14"/>
      <c r="H471" s="14"/>
      <c r="I471" s="4" t="str">
        <f t="shared" si="22"/>
        <v/>
      </c>
    </row>
    <row r="472" spans="2:9" outlineLevel="1" x14ac:dyDescent="0.35">
      <c r="B472" s="14" t="str">
        <f>IF(D472&lt;&gt;"",COUNTA(D$2:D472),"")</f>
        <v/>
      </c>
      <c r="C472" s="14">
        <f t="shared" si="21"/>
        <v>77</v>
      </c>
      <c r="D472" s="15"/>
      <c r="E472" s="29"/>
      <c r="F472" s="17" t="s">
        <v>483</v>
      </c>
      <c r="G472" s="14"/>
      <c r="H472" s="14"/>
      <c r="I472" s="4" t="str">
        <f t="shared" si="22"/>
        <v/>
      </c>
    </row>
    <row r="473" spans="2:9" outlineLevel="1" x14ac:dyDescent="0.35">
      <c r="B473" s="14" t="str">
        <f>IF(D473&lt;&gt;"",COUNTA(D$2:D473),"")</f>
        <v/>
      </c>
      <c r="C473" s="14">
        <f t="shared" si="21"/>
        <v>77</v>
      </c>
      <c r="D473" s="27"/>
      <c r="E473" s="29"/>
      <c r="F473" s="17" t="s">
        <v>484</v>
      </c>
      <c r="G473" s="14"/>
      <c r="H473" s="14"/>
      <c r="I473" s="4" t="str">
        <f t="shared" si="22"/>
        <v/>
      </c>
    </row>
    <row r="474" spans="2:9" outlineLevel="1" x14ac:dyDescent="0.35">
      <c r="B474" s="14" t="str">
        <f>IF(D474&lt;&gt;"",COUNTA(D$2:D474),"")</f>
        <v/>
      </c>
      <c r="C474" s="14">
        <f t="shared" si="21"/>
        <v>77</v>
      </c>
      <c r="D474" s="27"/>
      <c r="E474" s="29"/>
      <c r="F474" s="17" t="s">
        <v>485</v>
      </c>
      <c r="G474" s="14"/>
      <c r="H474" s="14"/>
      <c r="I474" s="4" t="str">
        <f t="shared" si="22"/>
        <v/>
      </c>
    </row>
    <row r="475" spans="2:9" ht="36" customHeight="1" outlineLevel="1" x14ac:dyDescent="0.35">
      <c r="B475" s="14" t="str">
        <f>IF(D475&lt;&gt;"",COUNTA(D$2:D475),"")</f>
        <v/>
      </c>
      <c r="C475" s="14">
        <f t="shared" si="21"/>
        <v>77</v>
      </c>
      <c r="D475" s="27"/>
      <c r="E475" s="29"/>
      <c r="F475" s="17" t="s">
        <v>486</v>
      </c>
      <c r="G475" s="14"/>
      <c r="H475" s="14"/>
      <c r="I475" s="4" t="str">
        <f t="shared" si="22"/>
        <v/>
      </c>
    </row>
    <row r="476" spans="2:9" ht="36" customHeight="1" outlineLevel="1" x14ac:dyDescent="0.35">
      <c r="B476" s="14" t="str">
        <f>IF(D476&lt;&gt;"",COUNTA(D$2:D476),"")</f>
        <v/>
      </c>
      <c r="C476" s="14">
        <f t="shared" si="21"/>
        <v>77</v>
      </c>
      <c r="D476" s="27"/>
      <c r="E476" s="29"/>
      <c r="F476" s="17" t="s">
        <v>487</v>
      </c>
      <c r="G476" s="14"/>
      <c r="H476" s="14"/>
      <c r="I476" s="4" t="str">
        <f t="shared" si="22"/>
        <v/>
      </c>
    </row>
    <row r="477" spans="2:9" outlineLevel="1" x14ac:dyDescent="0.35">
      <c r="B477" s="14" t="str">
        <f>IF(D477&lt;&gt;"",COUNTA(D$2:D477),"")</f>
        <v/>
      </c>
      <c r="C477" s="14">
        <f t="shared" si="21"/>
        <v>77</v>
      </c>
      <c r="D477" s="27"/>
      <c r="E477" s="29"/>
      <c r="F477" s="17" t="s">
        <v>488</v>
      </c>
      <c r="G477" s="14"/>
      <c r="H477" s="14"/>
      <c r="I477" s="4" t="str">
        <f t="shared" si="22"/>
        <v/>
      </c>
    </row>
    <row r="478" spans="2:9" ht="36" customHeight="1" outlineLevel="1" x14ac:dyDescent="0.35">
      <c r="B478" s="14">
        <f>IF(D478&lt;&gt;"",COUNTA(D$2:D478),"")</f>
        <v>78</v>
      </c>
      <c r="C478" s="14">
        <f t="shared" si="21"/>
        <v>78</v>
      </c>
      <c r="D478" s="15" t="s">
        <v>489</v>
      </c>
      <c r="E478" s="16" t="s">
        <v>10</v>
      </c>
      <c r="F478" s="17"/>
      <c r="G478" s="14" t="str">
        <f>IF(ISBLANK(F478),"B","")</f>
        <v>B</v>
      </c>
      <c r="H478" s="14" t="str">
        <f>IF(OR(I478="",I478=-1),"",IF(I478&lt;4,"Đơn giản",IF(I478&lt;8,"Trung bình","Phức tạp")))</f>
        <v>Trung bình</v>
      </c>
      <c r="I478" s="4">
        <f t="shared" si="22"/>
        <v>7</v>
      </c>
    </row>
    <row r="479" spans="2:9" ht="36" customHeight="1" outlineLevel="1" x14ac:dyDescent="0.35">
      <c r="B479" s="14" t="str">
        <f>IF(D479&lt;&gt;"",COUNTA(D$2:D479),"")</f>
        <v/>
      </c>
      <c r="C479" s="14">
        <f t="shared" si="21"/>
        <v>78</v>
      </c>
      <c r="D479" s="27"/>
      <c r="E479" s="29"/>
      <c r="F479" s="17" t="s">
        <v>490</v>
      </c>
      <c r="G479" s="14"/>
      <c r="H479" s="14"/>
      <c r="I479" s="4" t="str">
        <f t="shared" si="22"/>
        <v/>
      </c>
    </row>
    <row r="480" spans="2:9" ht="36" customHeight="1" outlineLevel="1" x14ac:dyDescent="0.35">
      <c r="B480" s="14" t="str">
        <f>IF(D480&lt;&gt;"",COUNTA(D$2:D480),"")</f>
        <v/>
      </c>
      <c r="C480" s="14">
        <f t="shared" si="21"/>
        <v>78</v>
      </c>
      <c r="D480" s="27"/>
      <c r="E480" s="29"/>
      <c r="F480" s="17" t="s">
        <v>491</v>
      </c>
      <c r="G480" s="14"/>
      <c r="H480" s="14"/>
      <c r="I480" s="4" t="str">
        <f t="shared" si="22"/>
        <v/>
      </c>
    </row>
    <row r="481" spans="2:9" ht="36" customHeight="1" outlineLevel="1" x14ac:dyDescent="0.35">
      <c r="B481" s="14" t="str">
        <f>IF(D481&lt;&gt;"",COUNTA(D$2:D481),"")</f>
        <v/>
      </c>
      <c r="C481" s="14">
        <f t="shared" si="21"/>
        <v>78</v>
      </c>
      <c r="D481" s="27"/>
      <c r="E481" s="29"/>
      <c r="F481" s="17" t="s">
        <v>492</v>
      </c>
      <c r="G481" s="14"/>
      <c r="H481" s="14"/>
      <c r="I481" s="4" t="str">
        <f t="shared" si="22"/>
        <v/>
      </c>
    </row>
    <row r="482" spans="2:9" outlineLevel="1" x14ac:dyDescent="0.35">
      <c r="B482" s="14" t="str">
        <f>IF(D482&lt;&gt;"",COUNTA(D$2:D482),"")</f>
        <v/>
      </c>
      <c r="C482" s="14">
        <f t="shared" si="21"/>
        <v>78</v>
      </c>
      <c r="D482" s="27"/>
      <c r="E482" s="29"/>
      <c r="F482" s="17" t="s">
        <v>493</v>
      </c>
      <c r="G482" s="14"/>
      <c r="H482" s="14"/>
      <c r="I482" s="4" t="str">
        <f t="shared" si="22"/>
        <v/>
      </c>
    </row>
    <row r="483" spans="2:9" outlineLevel="1" x14ac:dyDescent="0.35">
      <c r="B483" s="14" t="str">
        <f>IF(D483&lt;&gt;"",COUNTA(D$2:D483),"")</f>
        <v/>
      </c>
      <c r="C483" s="14">
        <f t="shared" si="21"/>
        <v>78</v>
      </c>
      <c r="D483" s="27"/>
      <c r="E483" s="29"/>
      <c r="F483" s="17" t="s">
        <v>494</v>
      </c>
      <c r="G483" s="14"/>
      <c r="H483" s="14"/>
      <c r="I483" s="4" t="str">
        <f t="shared" si="22"/>
        <v/>
      </c>
    </row>
    <row r="484" spans="2:9" ht="36" customHeight="1" outlineLevel="1" x14ac:dyDescent="0.35">
      <c r="B484" s="14" t="str">
        <f>IF(D484&lt;&gt;"",COUNTA(D$2:D484),"")</f>
        <v/>
      </c>
      <c r="C484" s="14">
        <f t="shared" si="21"/>
        <v>78</v>
      </c>
      <c r="D484" s="27"/>
      <c r="E484" s="29"/>
      <c r="F484" s="17" t="s">
        <v>495</v>
      </c>
      <c r="G484" s="14"/>
      <c r="H484" s="14"/>
      <c r="I484" s="4" t="str">
        <f t="shared" si="22"/>
        <v/>
      </c>
    </row>
    <row r="485" spans="2:9" ht="36" customHeight="1" outlineLevel="1" x14ac:dyDescent="0.35">
      <c r="B485" s="14" t="str">
        <f>IF(D485&lt;&gt;"",COUNTA(D$2:D485),"")</f>
        <v/>
      </c>
      <c r="C485" s="14">
        <f t="shared" si="21"/>
        <v>78</v>
      </c>
      <c r="D485" s="15"/>
      <c r="E485" s="29"/>
      <c r="F485" s="17" t="s">
        <v>496</v>
      </c>
      <c r="G485" s="14"/>
      <c r="H485" s="14"/>
      <c r="I485" s="4" t="str">
        <f t="shared" si="22"/>
        <v/>
      </c>
    </row>
    <row r="486" spans="2:9" x14ac:dyDescent="0.35">
      <c r="B486" s="11" t="s">
        <v>497</v>
      </c>
      <c r="C486" s="8"/>
      <c r="D486" s="8"/>
      <c r="E486" s="8"/>
      <c r="F486" s="9"/>
      <c r="G486" s="12"/>
      <c r="H486" s="13"/>
      <c r="I486" s="4"/>
    </row>
    <row r="487" spans="2:9" ht="36" customHeight="1" outlineLevel="1" x14ac:dyDescent="0.4">
      <c r="B487" s="14">
        <f>IF(D487&lt;&gt;"",COUNTA(D$2:D487),"")</f>
        <v>79</v>
      </c>
      <c r="C487" s="14">
        <f t="shared" ref="C487:C506" si="23">IF(B487="",C486,B487)</f>
        <v>79</v>
      </c>
      <c r="D487" s="17" t="s">
        <v>498</v>
      </c>
      <c r="E487" s="16" t="s">
        <v>10</v>
      </c>
      <c r="F487" s="19"/>
      <c r="G487" s="14" t="str">
        <f>IF(ISBLANK(F487),"B","")</f>
        <v>B</v>
      </c>
      <c r="H487" s="14" t="str">
        <f>IF(OR(I487="",I487=-1),"",IF(I487&lt;4,"Đơn giản",IF(I487&lt;8,"Trung bình","Phức tạp")))</f>
        <v>Đơn giản</v>
      </c>
      <c r="I487" s="4">
        <f t="shared" ref="I487:I505" si="24">IF(B487="","", COUNTIF($C:$C,B487)-1)</f>
        <v>3</v>
      </c>
    </row>
    <row r="488" spans="2:9" ht="54" customHeight="1" outlineLevel="1" x14ac:dyDescent="0.4">
      <c r="B488" s="14" t="str">
        <f>IF(D488&lt;&gt;"",COUNTA(D$2:D488),"")</f>
        <v/>
      </c>
      <c r="C488" s="14">
        <f t="shared" si="23"/>
        <v>79</v>
      </c>
      <c r="D488" s="17"/>
      <c r="E488" s="23"/>
      <c r="F488" s="19" t="s">
        <v>499</v>
      </c>
      <c r="G488" s="14"/>
      <c r="H488" s="14"/>
      <c r="I488" s="4" t="str">
        <f t="shared" si="24"/>
        <v/>
      </c>
    </row>
    <row r="489" spans="2:9" ht="36" customHeight="1" outlineLevel="1" x14ac:dyDescent="0.4">
      <c r="B489" s="14" t="str">
        <f>IF(D489&lt;&gt;"",COUNTA(D$2:D489),"")</f>
        <v/>
      </c>
      <c r="C489" s="14">
        <f t="shared" si="23"/>
        <v>79</v>
      </c>
      <c r="D489" s="17"/>
      <c r="E489" s="23"/>
      <c r="F489" s="19" t="s">
        <v>500</v>
      </c>
      <c r="G489" s="14"/>
      <c r="H489" s="14"/>
      <c r="I489" s="4" t="str">
        <f t="shared" si="24"/>
        <v/>
      </c>
    </row>
    <row r="490" spans="2:9" ht="36" customHeight="1" outlineLevel="1" x14ac:dyDescent="0.4">
      <c r="B490" s="14" t="str">
        <f>IF(D490&lt;&gt;"",COUNTA(D$2:D490),"")</f>
        <v/>
      </c>
      <c r="C490" s="14">
        <f t="shared" si="23"/>
        <v>79</v>
      </c>
      <c r="D490" s="17"/>
      <c r="E490" s="23"/>
      <c r="F490" s="19" t="s">
        <v>501</v>
      </c>
      <c r="G490" s="14"/>
      <c r="H490" s="14"/>
      <c r="I490" s="4" t="str">
        <f t="shared" si="24"/>
        <v/>
      </c>
    </row>
    <row r="491" spans="2:9" ht="36" customHeight="1" outlineLevel="1" x14ac:dyDescent="0.4">
      <c r="B491" s="14">
        <f>IF(D491&lt;&gt;"",COUNTA(D$2:D491),"")</f>
        <v>80</v>
      </c>
      <c r="C491" s="14">
        <f t="shared" si="23"/>
        <v>80</v>
      </c>
      <c r="D491" s="17" t="s">
        <v>502</v>
      </c>
      <c r="E491" s="16" t="s">
        <v>10</v>
      </c>
      <c r="F491" s="19"/>
      <c r="G491" s="14" t="str">
        <f>IF(ISBLANK(F491),"B","")</f>
        <v>B</v>
      </c>
      <c r="H491" s="14" t="str">
        <f>IF(OR(I491="",I491=-1),"",IF(I491&lt;4,"Đơn giản",IF(I491&lt;8,"Trung bình","Phức tạp")))</f>
        <v>Đơn giản</v>
      </c>
      <c r="I491" s="4">
        <f t="shared" si="24"/>
        <v>3</v>
      </c>
    </row>
    <row r="492" spans="2:9" ht="54" customHeight="1" outlineLevel="1" x14ac:dyDescent="0.4">
      <c r="B492" s="14" t="str">
        <f>IF(D492&lt;&gt;"",COUNTA(D$2:D492),"")</f>
        <v/>
      </c>
      <c r="C492" s="14">
        <f t="shared" si="23"/>
        <v>80</v>
      </c>
      <c r="D492" s="17"/>
      <c r="E492" s="16"/>
      <c r="F492" s="19" t="s">
        <v>503</v>
      </c>
      <c r="G492" s="14"/>
      <c r="H492" s="14"/>
      <c r="I492" s="4" t="str">
        <f t="shared" si="24"/>
        <v/>
      </c>
    </row>
    <row r="493" spans="2:9" ht="36" customHeight="1" outlineLevel="1" x14ac:dyDescent="0.4">
      <c r="B493" s="14" t="str">
        <f>IF(D493&lt;&gt;"",COUNTA(D$2:D493),"")</f>
        <v/>
      </c>
      <c r="C493" s="14">
        <f t="shared" si="23"/>
        <v>80</v>
      </c>
      <c r="D493" s="17"/>
      <c r="E493" s="16"/>
      <c r="F493" s="19" t="s">
        <v>504</v>
      </c>
      <c r="G493" s="14"/>
      <c r="H493" s="14"/>
      <c r="I493" s="4" t="str">
        <f t="shared" si="24"/>
        <v/>
      </c>
    </row>
    <row r="494" spans="2:9" ht="36" customHeight="1" outlineLevel="1" x14ac:dyDescent="0.4">
      <c r="B494" s="14" t="str">
        <f>IF(D494&lt;&gt;"",COUNTA(D$2:D494),"")</f>
        <v/>
      </c>
      <c r="C494" s="14">
        <f t="shared" si="23"/>
        <v>80</v>
      </c>
      <c r="D494" s="17"/>
      <c r="E494" s="16"/>
      <c r="F494" s="19" t="s">
        <v>505</v>
      </c>
      <c r="G494" s="14"/>
      <c r="H494" s="14"/>
      <c r="I494" s="4" t="str">
        <f t="shared" si="24"/>
        <v/>
      </c>
    </row>
    <row r="495" spans="2:9" ht="36" customHeight="1" outlineLevel="1" x14ac:dyDescent="0.4">
      <c r="B495" s="14">
        <f>IF(D495&lt;&gt;"",COUNTA(D$2:D495),"")</f>
        <v>81</v>
      </c>
      <c r="C495" s="14">
        <f t="shared" si="23"/>
        <v>81</v>
      </c>
      <c r="D495" s="17" t="s">
        <v>506</v>
      </c>
      <c r="E495" s="16" t="s">
        <v>10</v>
      </c>
      <c r="F495" s="19"/>
      <c r="G495" s="14" t="str">
        <f>IF(ISBLANK(F495),"B","")</f>
        <v>B</v>
      </c>
      <c r="H495" s="14" t="str">
        <f>IF(OR(I495="",I495=-1),"",IF(I495&lt;4,"Đơn giản",IF(I495&lt;8,"Trung bình","Phức tạp")))</f>
        <v>Đơn giản</v>
      </c>
      <c r="I495" s="4">
        <f t="shared" si="24"/>
        <v>3</v>
      </c>
    </row>
    <row r="496" spans="2:9" ht="36" customHeight="1" outlineLevel="1" x14ac:dyDescent="0.4">
      <c r="B496" s="14" t="str">
        <f>IF(D496&lt;&gt;"",COUNTA(D$2:D496),"")</f>
        <v/>
      </c>
      <c r="C496" s="14">
        <f t="shared" si="23"/>
        <v>81</v>
      </c>
      <c r="D496" s="17"/>
      <c r="E496" s="16"/>
      <c r="F496" s="19" t="s">
        <v>507</v>
      </c>
      <c r="G496" s="14"/>
      <c r="H496" s="14"/>
      <c r="I496" s="4" t="str">
        <f t="shared" si="24"/>
        <v/>
      </c>
    </row>
    <row r="497" spans="2:9" ht="36" customHeight="1" outlineLevel="1" x14ac:dyDescent="0.4">
      <c r="B497" s="14" t="str">
        <f>IF(D497&lt;&gt;"",COUNTA(D$2:D497),"")</f>
        <v/>
      </c>
      <c r="C497" s="14">
        <f t="shared" si="23"/>
        <v>81</v>
      </c>
      <c r="D497" s="17"/>
      <c r="E497" s="16"/>
      <c r="F497" s="19" t="s">
        <v>508</v>
      </c>
      <c r="G497" s="14"/>
      <c r="H497" s="14"/>
      <c r="I497" s="4" t="str">
        <f t="shared" si="24"/>
        <v/>
      </c>
    </row>
    <row r="498" spans="2:9" ht="36" customHeight="1" outlineLevel="1" x14ac:dyDescent="0.4">
      <c r="B498" s="14" t="str">
        <f>IF(D498&lt;&gt;"",COUNTA(D$2:D498),"")</f>
        <v/>
      </c>
      <c r="C498" s="14">
        <f t="shared" si="23"/>
        <v>81</v>
      </c>
      <c r="D498" s="17"/>
      <c r="E498" s="16"/>
      <c r="F498" s="19" t="s">
        <v>509</v>
      </c>
      <c r="G498" s="14"/>
      <c r="H498" s="14"/>
      <c r="I498" s="4" t="str">
        <f t="shared" si="24"/>
        <v/>
      </c>
    </row>
    <row r="499" spans="2:9" ht="54" customHeight="1" outlineLevel="1" x14ac:dyDescent="0.4">
      <c r="B499" s="14">
        <f>IF(D499&lt;&gt;"",COUNTA(D$2:D499),"")</f>
        <v>82</v>
      </c>
      <c r="C499" s="14">
        <f t="shared" si="23"/>
        <v>82</v>
      </c>
      <c r="D499" s="17" t="s">
        <v>510</v>
      </c>
      <c r="E499" s="16" t="s">
        <v>10</v>
      </c>
      <c r="F499" s="19"/>
      <c r="G499" s="14" t="str">
        <f>IF(ISBLANK(F499),"B","")</f>
        <v>B</v>
      </c>
      <c r="H499" s="14" t="str">
        <f>IF(OR(I499="",I499=-1),"",IF(I499&lt;4,"Đơn giản",IF(I499&lt;8,"Trung bình","Phức tạp")))</f>
        <v>Đơn giản</v>
      </c>
      <c r="I499" s="4">
        <f t="shared" si="24"/>
        <v>3</v>
      </c>
    </row>
    <row r="500" spans="2:9" ht="54" customHeight="1" outlineLevel="1" x14ac:dyDescent="0.4">
      <c r="B500" s="14" t="str">
        <f>IF(D500&lt;&gt;"",COUNTA(D$2:D500),"")</f>
        <v/>
      </c>
      <c r="C500" s="14">
        <f t="shared" si="23"/>
        <v>82</v>
      </c>
      <c r="D500" s="17"/>
      <c r="E500" s="23"/>
      <c r="F500" s="19" t="s">
        <v>511</v>
      </c>
      <c r="G500" s="14"/>
      <c r="H500" s="14"/>
      <c r="I500" s="4" t="str">
        <f t="shared" si="24"/>
        <v/>
      </c>
    </row>
    <row r="501" spans="2:9" ht="36" customHeight="1" outlineLevel="1" x14ac:dyDescent="0.4">
      <c r="B501" s="14" t="str">
        <f>IF(D501&lt;&gt;"",COUNTA(D$2:D501),"")</f>
        <v/>
      </c>
      <c r="C501" s="14">
        <f t="shared" si="23"/>
        <v>82</v>
      </c>
      <c r="D501" s="17"/>
      <c r="E501" s="23"/>
      <c r="F501" s="19" t="s">
        <v>512</v>
      </c>
      <c r="G501" s="14"/>
      <c r="H501" s="14"/>
      <c r="I501" s="4" t="str">
        <f t="shared" si="24"/>
        <v/>
      </c>
    </row>
    <row r="502" spans="2:9" ht="36" customHeight="1" outlineLevel="1" x14ac:dyDescent="0.4">
      <c r="B502" s="14" t="str">
        <f>IF(D502&lt;&gt;"",COUNTA(D$2:D502),"")</f>
        <v/>
      </c>
      <c r="C502" s="14">
        <f t="shared" si="23"/>
        <v>82</v>
      </c>
      <c r="D502" s="17"/>
      <c r="E502" s="23"/>
      <c r="F502" s="19" t="s">
        <v>513</v>
      </c>
      <c r="G502" s="14"/>
      <c r="H502" s="14"/>
      <c r="I502" s="4" t="str">
        <f t="shared" si="24"/>
        <v/>
      </c>
    </row>
    <row r="503" spans="2:9" ht="54" customHeight="1" outlineLevel="1" x14ac:dyDescent="0.4">
      <c r="B503" s="14">
        <f>IF(D503&lt;&gt;"",COUNTA(D$2:D503),"")</f>
        <v>83</v>
      </c>
      <c r="C503" s="14">
        <f t="shared" si="23"/>
        <v>83</v>
      </c>
      <c r="D503" s="17" t="s">
        <v>514</v>
      </c>
      <c r="E503" s="16" t="s">
        <v>10</v>
      </c>
      <c r="F503" s="19"/>
      <c r="G503" s="14" t="str">
        <f>IF(ISBLANK(F503),"B","")</f>
        <v>B</v>
      </c>
      <c r="H503" s="14" t="str">
        <f>IF(OR(I503="",I503=-1),"",IF(I503&lt;4,"Đơn giản",IF(I503&lt;8,"Trung bình","Phức tạp")))</f>
        <v>Đơn giản</v>
      </c>
      <c r="I503" s="4">
        <f t="shared" si="24"/>
        <v>3</v>
      </c>
    </row>
    <row r="504" spans="2:9" ht="54" customHeight="1" outlineLevel="1" x14ac:dyDescent="0.4">
      <c r="B504" s="14" t="str">
        <f>IF(D504&lt;&gt;"",COUNTA(D$2:D504),"")</f>
        <v/>
      </c>
      <c r="C504" s="14">
        <f t="shared" si="23"/>
        <v>83</v>
      </c>
      <c r="D504" s="17"/>
      <c r="E504" s="16"/>
      <c r="F504" s="19" t="s">
        <v>515</v>
      </c>
      <c r="G504" s="14"/>
      <c r="H504" s="14"/>
      <c r="I504" s="4" t="str">
        <f t="shared" si="24"/>
        <v/>
      </c>
    </row>
    <row r="505" spans="2:9" ht="36" customHeight="1" outlineLevel="1" x14ac:dyDescent="0.4">
      <c r="B505" s="14" t="str">
        <f>IF(D505&lt;&gt;"",COUNTA(D$2:D505),"")</f>
        <v/>
      </c>
      <c r="C505" s="14">
        <f t="shared" si="23"/>
        <v>83</v>
      </c>
      <c r="D505" s="17"/>
      <c r="E505" s="16"/>
      <c r="F505" s="19" t="s">
        <v>516</v>
      </c>
      <c r="G505" s="14"/>
      <c r="H505" s="14"/>
      <c r="I505" s="4" t="str">
        <f t="shared" si="24"/>
        <v/>
      </c>
    </row>
    <row r="506" spans="2:9" ht="36" customHeight="1" outlineLevel="1" x14ac:dyDescent="0.4">
      <c r="B506" s="14" t="str">
        <f>IF(D506&lt;&gt;"",COUNTA(D$2:D506),"")</f>
        <v/>
      </c>
      <c r="C506" s="14">
        <f t="shared" si="23"/>
        <v>83</v>
      </c>
      <c r="D506" s="17"/>
      <c r="E506" s="16"/>
      <c r="F506" s="19" t="s">
        <v>517</v>
      </c>
      <c r="G506" s="14"/>
      <c r="H506" s="14"/>
      <c r="I506" s="4" t="str">
        <f>IF(B511="","", COUNTIF($C:$C,B511)-1)</f>
        <v/>
      </c>
    </row>
    <row r="507" spans="2:9" x14ac:dyDescent="0.35">
      <c r="B507" s="11" t="s">
        <v>518</v>
      </c>
      <c r="C507" s="8"/>
      <c r="D507" s="8"/>
      <c r="E507" s="8"/>
      <c r="F507" s="9"/>
      <c r="G507" s="12"/>
      <c r="H507" s="13"/>
      <c r="I507" s="4"/>
    </row>
    <row r="508" spans="2:9" ht="36" customHeight="1" outlineLevel="1" x14ac:dyDescent="0.35">
      <c r="B508" s="14">
        <f>IF(D508&lt;&gt;"",COUNTA(D$2:D508),"")</f>
        <v>84</v>
      </c>
      <c r="C508" s="14">
        <f t="shared" ref="C508:C534" si="25">IF(B508="",C507,B508)</f>
        <v>84</v>
      </c>
      <c r="D508" s="27" t="s">
        <v>519</v>
      </c>
      <c r="E508" s="14" t="s">
        <v>117</v>
      </c>
      <c r="F508" s="35"/>
      <c r="G508" s="14" t="str">
        <f>IF(ISBLANK(F508),"B","")</f>
        <v>B</v>
      </c>
      <c r="H508" s="14" t="str">
        <f>IF(OR(I508="",I508=-1),"",IF(I508&lt;4,"Đơn giản",IF(I508&lt;8,"Trung bình","Phức tạp")))</f>
        <v>Trung bình</v>
      </c>
      <c r="I508" s="4">
        <f t="shared" ref="I508:I534" si="26">IF(B508="","", COUNTIF($C:$C,B508)-1)</f>
        <v>5</v>
      </c>
    </row>
    <row r="509" spans="2:9" ht="36" customHeight="1" outlineLevel="1" x14ac:dyDescent="0.35">
      <c r="B509" s="14" t="str">
        <f>IF(D509&lt;&gt;"",COUNTA(D$2:D509),"")</f>
        <v/>
      </c>
      <c r="C509" s="14">
        <f t="shared" si="25"/>
        <v>84</v>
      </c>
      <c r="D509" s="27"/>
      <c r="E509" s="12"/>
      <c r="F509" s="15" t="s">
        <v>520</v>
      </c>
      <c r="G509" s="14"/>
      <c r="H509" s="14"/>
      <c r="I509" s="4" t="str">
        <f t="shared" si="26"/>
        <v/>
      </c>
    </row>
    <row r="510" spans="2:9" ht="36" customHeight="1" outlineLevel="1" x14ac:dyDescent="0.35">
      <c r="B510" s="14" t="str">
        <f>IF(D510&lt;&gt;"",COUNTA(D$2:D510),"")</f>
        <v/>
      </c>
      <c r="C510" s="14">
        <f t="shared" si="25"/>
        <v>84</v>
      </c>
      <c r="D510" s="27"/>
      <c r="E510" s="12"/>
      <c r="F510" s="15" t="s">
        <v>521</v>
      </c>
      <c r="G510" s="14"/>
      <c r="H510" s="14"/>
      <c r="I510" s="4" t="str">
        <f t="shared" si="26"/>
        <v/>
      </c>
    </row>
    <row r="511" spans="2:9" ht="36" customHeight="1" outlineLevel="1" x14ac:dyDescent="0.35">
      <c r="B511" s="14" t="str">
        <f>IF(D511&lt;&gt;"",COUNTA(D$2:D511),"")</f>
        <v/>
      </c>
      <c r="C511" s="14">
        <f t="shared" si="25"/>
        <v>84</v>
      </c>
      <c r="D511" s="27"/>
      <c r="E511" s="12"/>
      <c r="F511" s="15" t="s">
        <v>522</v>
      </c>
      <c r="G511" s="14"/>
      <c r="H511" s="14"/>
      <c r="I511" s="4" t="str">
        <f t="shared" si="26"/>
        <v/>
      </c>
    </row>
    <row r="512" spans="2:9" ht="36" customHeight="1" outlineLevel="1" x14ac:dyDescent="0.35">
      <c r="B512" s="14" t="str">
        <f>IF(D512&lt;&gt;"",COUNTA(D$2:D512),"")</f>
        <v/>
      </c>
      <c r="C512" s="14">
        <f t="shared" si="25"/>
        <v>84</v>
      </c>
      <c r="D512" s="27"/>
      <c r="E512" s="12"/>
      <c r="F512" s="15" t="s">
        <v>523</v>
      </c>
      <c r="G512" s="14"/>
      <c r="H512" s="14"/>
      <c r="I512" s="4" t="str">
        <f t="shared" si="26"/>
        <v/>
      </c>
    </row>
    <row r="513" spans="2:9" ht="36" customHeight="1" outlineLevel="1" x14ac:dyDescent="0.35">
      <c r="B513" s="14" t="str">
        <f>IF(D513&lt;&gt;"",COUNTA(D$2:D513),"")</f>
        <v/>
      </c>
      <c r="C513" s="14">
        <f t="shared" si="25"/>
        <v>84</v>
      </c>
      <c r="D513" s="27"/>
      <c r="E513" s="12"/>
      <c r="F513" s="15" t="s">
        <v>524</v>
      </c>
      <c r="G513" s="14"/>
      <c r="H513" s="14"/>
      <c r="I513" s="4" t="str">
        <f t="shared" si="26"/>
        <v/>
      </c>
    </row>
    <row r="514" spans="2:9" ht="36" customHeight="1" outlineLevel="1" x14ac:dyDescent="0.35">
      <c r="B514" s="14">
        <f>IF(D514&lt;&gt;"",COUNTA(D$2:D514),"")</f>
        <v>85</v>
      </c>
      <c r="C514" s="14">
        <f t="shared" si="25"/>
        <v>85</v>
      </c>
      <c r="D514" s="27" t="s">
        <v>525</v>
      </c>
      <c r="E514" s="14" t="s">
        <v>117</v>
      </c>
      <c r="F514" s="15"/>
      <c r="G514" s="14" t="str">
        <f>IF(ISBLANK(F514),"B","")</f>
        <v>B</v>
      </c>
      <c r="H514" s="14" t="str">
        <f>IF(OR(I514="",I514=-1),"",IF(I514&lt;4,"Đơn giản",IF(I514&lt;8,"Trung bình","Phức tạp")))</f>
        <v>Trung bình</v>
      </c>
      <c r="I514" s="4">
        <f t="shared" si="26"/>
        <v>5</v>
      </c>
    </row>
    <row r="515" spans="2:9" ht="36" customHeight="1" outlineLevel="1" x14ac:dyDescent="0.35">
      <c r="B515" s="14" t="str">
        <f>IF(D515&lt;&gt;"",COUNTA(D$2:D515),"")</f>
        <v/>
      </c>
      <c r="C515" s="14">
        <f t="shared" si="25"/>
        <v>85</v>
      </c>
      <c r="D515" s="27"/>
      <c r="E515" s="36"/>
      <c r="F515" s="15" t="s">
        <v>526</v>
      </c>
      <c r="G515" s="14"/>
      <c r="H515" s="14"/>
      <c r="I515" s="4" t="str">
        <f t="shared" si="26"/>
        <v/>
      </c>
    </row>
    <row r="516" spans="2:9" ht="36" customHeight="1" outlineLevel="1" x14ac:dyDescent="0.35">
      <c r="B516" s="14" t="str">
        <f>IF(D516&lt;&gt;"",COUNTA(D$2:D516),"")</f>
        <v/>
      </c>
      <c r="C516" s="14">
        <f t="shared" si="25"/>
        <v>85</v>
      </c>
      <c r="D516" s="27"/>
      <c r="E516" s="36"/>
      <c r="F516" s="15" t="s">
        <v>527</v>
      </c>
      <c r="G516" s="13"/>
      <c r="H516" s="13"/>
      <c r="I516" s="4" t="str">
        <f t="shared" si="26"/>
        <v/>
      </c>
    </row>
    <row r="517" spans="2:9" ht="36" customHeight="1" outlineLevel="1" x14ac:dyDescent="0.35">
      <c r="B517" s="14" t="str">
        <f>IF(D517&lt;&gt;"",COUNTA(D$2:D517),"")</f>
        <v/>
      </c>
      <c r="C517" s="14">
        <f t="shared" si="25"/>
        <v>85</v>
      </c>
      <c r="D517" s="27"/>
      <c r="E517" s="36"/>
      <c r="F517" s="15" t="s">
        <v>528</v>
      </c>
      <c r="G517" s="13"/>
      <c r="H517" s="13"/>
      <c r="I517" s="4" t="str">
        <f t="shared" si="26"/>
        <v/>
      </c>
    </row>
    <row r="518" spans="2:9" outlineLevel="1" x14ac:dyDescent="0.35">
      <c r="B518" s="14" t="str">
        <f>IF(D518&lt;&gt;"",COUNTA(D$2:D518),"")</f>
        <v/>
      </c>
      <c r="C518" s="14">
        <f t="shared" si="25"/>
        <v>85</v>
      </c>
      <c r="D518" s="27"/>
      <c r="E518" s="36"/>
      <c r="F518" s="15" t="s">
        <v>529</v>
      </c>
      <c r="G518" s="13"/>
      <c r="H518" s="13"/>
      <c r="I518" s="4" t="str">
        <f t="shared" si="26"/>
        <v/>
      </c>
    </row>
    <row r="519" spans="2:9" ht="36" customHeight="1" outlineLevel="1" x14ac:dyDescent="0.35">
      <c r="B519" s="14" t="str">
        <f>IF(D519&lt;&gt;"",COUNTA(D$2:D519),"")</f>
        <v/>
      </c>
      <c r="C519" s="14">
        <f t="shared" si="25"/>
        <v>85</v>
      </c>
      <c r="D519" s="27"/>
      <c r="E519" s="36"/>
      <c r="F519" s="15" t="s">
        <v>530</v>
      </c>
      <c r="G519" s="13"/>
      <c r="H519" s="13"/>
      <c r="I519" s="4" t="str">
        <f t="shared" si="26"/>
        <v/>
      </c>
    </row>
    <row r="520" spans="2:9" ht="36" customHeight="1" outlineLevel="1" x14ac:dyDescent="0.35">
      <c r="B520" s="14">
        <f>IF(D520&lt;&gt;"",COUNTA(D$2:D520),"")</f>
        <v>86</v>
      </c>
      <c r="C520" s="14">
        <f t="shared" si="25"/>
        <v>86</v>
      </c>
      <c r="D520" s="27" t="s">
        <v>531</v>
      </c>
      <c r="E520" s="14" t="s">
        <v>117</v>
      </c>
      <c r="F520" s="15"/>
      <c r="G520" s="14" t="str">
        <f>IF(ISBLANK(F520),"B","")</f>
        <v>B</v>
      </c>
      <c r="H520" s="14" t="str">
        <f>IF(OR(I520="",I520=-1),"",IF(I520&lt;4,"Đơn giản",IF(I520&lt;8,"Trung bình","Phức tạp")))</f>
        <v>Trung bình</v>
      </c>
      <c r="I520" s="4">
        <f t="shared" si="26"/>
        <v>4</v>
      </c>
    </row>
    <row r="521" spans="2:9" ht="36" customHeight="1" outlineLevel="1" x14ac:dyDescent="0.35">
      <c r="B521" s="14" t="str">
        <f>IF(D521&lt;&gt;"",COUNTA(D$2:D521),"")</f>
        <v/>
      </c>
      <c r="C521" s="14">
        <f t="shared" si="25"/>
        <v>86</v>
      </c>
      <c r="D521" s="27"/>
      <c r="E521" s="16"/>
      <c r="F521" s="15" t="s">
        <v>532</v>
      </c>
      <c r="G521" s="14"/>
      <c r="H521" s="14"/>
      <c r="I521" s="4" t="str">
        <f t="shared" si="26"/>
        <v/>
      </c>
    </row>
    <row r="522" spans="2:9" ht="36" customHeight="1" outlineLevel="1" x14ac:dyDescent="0.35">
      <c r="B522" s="14" t="str">
        <f>IF(D522&lt;&gt;"",COUNTA(D$2:D522),"")</f>
        <v/>
      </c>
      <c r="C522" s="14">
        <f t="shared" si="25"/>
        <v>86</v>
      </c>
      <c r="D522" s="27"/>
      <c r="E522" s="16"/>
      <c r="F522" s="15" t="s">
        <v>533</v>
      </c>
      <c r="G522" s="14"/>
      <c r="H522" s="14"/>
      <c r="I522" s="4" t="str">
        <f t="shared" si="26"/>
        <v/>
      </c>
    </row>
    <row r="523" spans="2:9" ht="36" customHeight="1" outlineLevel="1" x14ac:dyDescent="0.35">
      <c r="B523" s="14" t="str">
        <f>IF(D523&lt;&gt;"",COUNTA(D$2:D523),"")</f>
        <v/>
      </c>
      <c r="C523" s="14">
        <f t="shared" si="25"/>
        <v>86</v>
      </c>
      <c r="D523" s="27"/>
      <c r="E523" s="23"/>
      <c r="F523" s="17" t="s">
        <v>534</v>
      </c>
      <c r="G523" s="14"/>
      <c r="H523" s="14"/>
      <c r="I523" s="4" t="str">
        <f t="shared" si="26"/>
        <v/>
      </c>
    </row>
    <row r="524" spans="2:9" ht="54" customHeight="1" outlineLevel="1" x14ac:dyDescent="0.35">
      <c r="B524" s="14" t="str">
        <f>IF(D524&lt;&gt;"",COUNTA(D$2:D524),"")</f>
        <v/>
      </c>
      <c r="C524" s="14">
        <f t="shared" si="25"/>
        <v>86</v>
      </c>
      <c r="D524" s="27"/>
      <c r="E524" s="23"/>
      <c r="F524" s="17" t="s">
        <v>535</v>
      </c>
      <c r="G524" s="14"/>
      <c r="H524" s="14"/>
      <c r="I524" s="4" t="str">
        <f t="shared" si="26"/>
        <v/>
      </c>
    </row>
    <row r="525" spans="2:9" ht="36" customHeight="1" outlineLevel="1" x14ac:dyDescent="0.35">
      <c r="B525" s="14">
        <f>IF(D525&lt;&gt;"",COUNTA(D$2:D525),"")</f>
        <v>87</v>
      </c>
      <c r="C525" s="14">
        <f t="shared" si="25"/>
        <v>87</v>
      </c>
      <c r="D525" s="27" t="s">
        <v>536</v>
      </c>
      <c r="E525" s="14" t="s">
        <v>117</v>
      </c>
      <c r="F525" s="15"/>
      <c r="G525" s="14" t="str">
        <f>IF(ISBLANK(F525),"B","")</f>
        <v>B</v>
      </c>
      <c r="H525" s="14" t="str">
        <f>IF(OR(I525="",I525=-1),"",IF(I525&lt;4,"Đơn giản",IF(I525&lt;8,"Trung bình","Phức tạp")))</f>
        <v>Trung bình</v>
      </c>
      <c r="I525" s="4">
        <f t="shared" si="26"/>
        <v>4</v>
      </c>
    </row>
    <row r="526" spans="2:9" ht="36" customHeight="1" outlineLevel="1" x14ac:dyDescent="0.35">
      <c r="B526" s="14" t="str">
        <f>IF(D526&lt;&gt;"",COUNTA(D$2:D526),"")</f>
        <v/>
      </c>
      <c r="C526" s="14">
        <f t="shared" si="25"/>
        <v>87</v>
      </c>
      <c r="D526" s="27"/>
      <c r="E526" s="16"/>
      <c r="F526" s="17" t="s">
        <v>537</v>
      </c>
      <c r="G526" s="14"/>
      <c r="H526" s="14"/>
      <c r="I526" s="4" t="str">
        <f t="shared" si="26"/>
        <v/>
      </c>
    </row>
    <row r="527" spans="2:9" outlineLevel="1" x14ac:dyDescent="0.35">
      <c r="B527" s="14" t="str">
        <f>IF(D527&lt;&gt;"",COUNTA(D$2:D527),"")</f>
        <v/>
      </c>
      <c r="C527" s="14">
        <f t="shared" si="25"/>
        <v>87</v>
      </c>
      <c r="D527" s="27"/>
      <c r="E527" s="16"/>
      <c r="F527" s="17" t="s">
        <v>538</v>
      </c>
      <c r="G527" s="14"/>
      <c r="H527" s="14"/>
      <c r="I527" s="4" t="str">
        <f t="shared" si="26"/>
        <v/>
      </c>
    </row>
    <row r="528" spans="2:9" ht="36" customHeight="1" outlineLevel="1" x14ac:dyDescent="0.35">
      <c r="B528" s="14" t="str">
        <f>IF(D528&lt;&gt;"",COUNTA(D$2:D528),"")</f>
        <v/>
      </c>
      <c r="C528" s="14">
        <f t="shared" si="25"/>
        <v>87</v>
      </c>
      <c r="D528" s="27"/>
      <c r="E528" s="23"/>
      <c r="F528" s="17" t="s">
        <v>539</v>
      </c>
      <c r="G528" s="14"/>
      <c r="H528" s="14"/>
      <c r="I528" s="4" t="str">
        <f t="shared" si="26"/>
        <v/>
      </c>
    </row>
    <row r="529" spans="2:9" outlineLevel="1" x14ac:dyDescent="0.35">
      <c r="B529" s="14" t="str">
        <f>IF(D529&lt;&gt;"",COUNTA(D$2:D529),"")</f>
        <v/>
      </c>
      <c r="C529" s="14">
        <f t="shared" si="25"/>
        <v>87</v>
      </c>
      <c r="D529" s="27"/>
      <c r="E529" s="23"/>
      <c r="F529" s="17" t="s">
        <v>540</v>
      </c>
      <c r="G529" s="14"/>
      <c r="H529" s="14"/>
      <c r="I529" s="4" t="str">
        <f t="shared" si="26"/>
        <v/>
      </c>
    </row>
    <row r="530" spans="2:9" ht="36" customHeight="1" outlineLevel="1" x14ac:dyDescent="0.35">
      <c r="B530" s="14">
        <f>IF(D530&lt;&gt;"",COUNTA(D$2:D530),"")</f>
        <v>88</v>
      </c>
      <c r="C530" s="14">
        <f t="shared" si="25"/>
        <v>88</v>
      </c>
      <c r="D530" s="27" t="s">
        <v>541</v>
      </c>
      <c r="E530" s="14" t="s">
        <v>10</v>
      </c>
      <c r="F530" s="15"/>
      <c r="G530" s="14" t="str">
        <f>IF(ISBLANK(F530),"B","")</f>
        <v>B</v>
      </c>
      <c r="H530" s="14" t="str">
        <f>IF(OR(I530="",I530=-1),"",IF(I530&lt;4,"Đơn giản",IF(I530&lt;8,"Trung bình","Phức tạp")))</f>
        <v>Trung bình</v>
      </c>
      <c r="I530" s="4">
        <f t="shared" si="26"/>
        <v>4</v>
      </c>
    </row>
    <row r="531" spans="2:9" ht="54" customHeight="1" outlineLevel="1" x14ac:dyDescent="0.35">
      <c r="B531" s="14" t="str">
        <f>IF(D531&lt;&gt;"",COUNTA(D$2:D531),"")</f>
        <v/>
      </c>
      <c r="C531" s="14">
        <f t="shared" si="25"/>
        <v>88</v>
      </c>
      <c r="D531" s="27"/>
      <c r="E531" s="16"/>
      <c r="F531" s="17" t="s">
        <v>542</v>
      </c>
      <c r="G531" s="14"/>
      <c r="H531" s="14"/>
      <c r="I531" s="4" t="str">
        <f t="shared" si="26"/>
        <v/>
      </c>
    </row>
    <row r="532" spans="2:9" ht="36" customHeight="1" outlineLevel="1" x14ac:dyDescent="0.35">
      <c r="B532" s="14" t="str">
        <f>IF(D532&lt;&gt;"",COUNTA(D$2:D532),"")</f>
        <v/>
      </c>
      <c r="C532" s="14">
        <f t="shared" si="25"/>
        <v>88</v>
      </c>
      <c r="D532" s="27"/>
      <c r="E532" s="16"/>
      <c r="F532" s="17" t="s">
        <v>543</v>
      </c>
      <c r="G532" s="14"/>
      <c r="H532" s="14"/>
      <c r="I532" s="4" t="str">
        <f t="shared" si="26"/>
        <v/>
      </c>
    </row>
    <row r="533" spans="2:9" ht="54" customHeight="1" outlineLevel="1" x14ac:dyDescent="0.35">
      <c r="B533" s="14" t="str">
        <f>IF(D533&lt;&gt;"",COUNTA(D$2:D533),"")</f>
        <v/>
      </c>
      <c r="C533" s="14">
        <f t="shared" si="25"/>
        <v>88</v>
      </c>
      <c r="D533" s="27"/>
      <c r="E533" s="23"/>
      <c r="F533" s="17" t="s">
        <v>544</v>
      </c>
      <c r="G533" s="14"/>
      <c r="H533" s="14"/>
      <c r="I533" s="4" t="str">
        <f t="shared" si="26"/>
        <v/>
      </c>
    </row>
    <row r="534" spans="2:9" ht="36" customHeight="1" outlineLevel="1" x14ac:dyDescent="0.35">
      <c r="B534" s="14" t="str">
        <f>IF(D534&lt;&gt;"",COUNTA(D$2:D534),"")</f>
        <v/>
      </c>
      <c r="C534" s="14">
        <f t="shared" si="25"/>
        <v>88</v>
      </c>
      <c r="D534" s="27"/>
      <c r="E534" s="23"/>
      <c r="F534" s="17" t="s">
        <v>545</v>
      </c>
      <c r="G534" s="14"/>
      <c r="H534" s="14"/>
      <c r="I534" s="4" t="str">
        <f t="shared" si="26"/>
        <v/>
      </c>
    </row>
    <row r="535" spans="2:9" x14ac:dyDescent="0.35">
      <c r="B535" s="11" t="s">
        <v>546</v>
      </c>
      <c r="C535" s="8"/>
      <c r="D535" s="8"/>
      <c r="E535" s="8"/>
      <c r="F535" s="9"/>
      <c r="G535" s="12"/>
      <c r="H535" s="13"/>
      <c r="I535" s="4"/>
    </row>
    <row r="536" spans="2:9" ht="36" customHeight="1" outlineLevel="1" x14ac:dyDescent="0.35">
      <c r="B536" s="14">
        <f>IF(D536&lt;&gt;"",COUNTA(D$2:D536),"")</f>
        <v>89</v>
      </c>
      <c r="C536" s="14">
        <f t="shared" ref="C536:C599" si="27">IF(B536="",C535,B536)</f>
        <v>89</v>
      </c>
      <c r="D536" s="15" t="s">
        <v>547</v>
      </c>
      <c r="E536" s="16" t="s">
        <v>117</v>
      </c>
      <c r="F536" s="17"/>
      <c r="G536" s="14" t="str">
        <f>IF(ISBLANK(F536),"B","")</f>
        <v>B</v>
      </c>
      <c r="H536" s="14" t="str">
        <f>IF(OR(I536="",I536=-1),"",IF(I536&lt;4,"Đơn giản",IF(I536&lt;8,"Trung bình","Phức tạp")))</f>
        <v>Trung bình</v>
      </c>
      <c r="I536" s="4">
        <f t="shared" ref="I536:I599" si="28">IF(B536="","", COUNTIF($C:$C,B536)-1)</f>
        <v>7</v>
      </c>
    </row>
    <row r="537" spans="2:9" ht="36" customHeight="1" outlineLevel="1" x14ac:dyDescent="0.35">
      <c r="B537" s="14" t="str">
        <f>IF(D537&lt;&gt;"",COUNTA(D$2:D537),"")</f>
        <v/>
      </c>
      <c r="C537" s="14">
        <f t="shared" si="27"/>
        <v>89</v>
      </c>
      <c r="D537" s="15"/>
      <c r="E537" s="16"/>
      <c r="F537" s="17" t="s">
        <v>548</v>
      </c>
      <c r="G537" s="14"/>
      <c r="H537" s="14"/>
      <c r="I537" s="4" t="str">
        <f t="shared" si="28"/>
        <v/>
      </c>
    </row>
    <row r="538" spans="2:9" outlineLevel="1" x14ac:dyDescent="0.35">
      <c r="B538" s="14" t="str">
        <f>IF(D538&lt;&gt;"",COUNTA(D$2:D538),"")</f>
        <v/>
      </c>
      <c r="C538" s="14">
        <f t="shared" si="27"/>
        <v>89</v>
      </c>
      <c r="D538" s="15"/>
      <c r="E538" s="16"/>
      <c r="F538" s="17" t="s">
        <v>549</v>
      </c>
      <c r="G538" s="14"/>
      <c r="H538" s="14"/>
      <c r="I538" s="4" t="str">
        <f t="shared" si="28"/>
        <v/>
      </c>
    </row>
    <row r="539" spans="2:9" ht="36" customHeight="1" outlineLevel="1" x14ac:dyDescent="0.35">
      <c r="B539" s="14" t="str">
        <f>IF(D539&lt;&gt;"",COUNTA(D$2:D539),"")</f>
        <v/>
      </c>
      <c r="C539" s="14">
        <f t="shared" si="27"/>
        <v>89</v>
      </c>
      <c r="D539" s="15"/>
      <c r="E539" s="16"/>
      <c r="F539" s="17" t="s">
        <v>550</v>
      </c>
      <c r="G539" s="14"/>
      <c r="H539" s="14"/>
      <c r="I539" s="4" t="str">
        <f t="shared" si="28"/>
        <v/>
      </c>
    </row>
    <row r="540" spans="2:9" ht="36" customHeight="1" outlineLevel="1" x14ac:dyDescent="0.35">
      <c r="B540" s="14" t="str">
        <f>IF(D540&lt;&gt;"",COUNTA(D$2:D540),"")</f>
        <v/>
      </c>
      <c r="C540" s="14">
        <f t="shared" si="27"/>
        <v>89</v>
      </c>
      <c r="D540" s="15"/>
      <c r="E540" s="16"/>
      <c r="F540" s="17" t="s">
        <v>551</v>
      </c>
      <c r="G540" s="14"/>
      <c r="H540" s="14"/>
      <c r="I540" s="4" t="str">
        <f t="shared" si="28"/>
        <v/>
      </c>
    </row>
    <row r="541" spans="2:9" ht="36" customHeight="1" outlineLevel="1" x14ac:dyDescent="0.35">
      <c r="B541" s="14" t="str">
        <f>IF(D541&lt;&gt;"",COUNTA(D$2:D541),"")</f>
        <v/>
      </c>
      <c r="C541" s="14">
        <f t="shared" si="27"/>
        <v>89</v>
      </c>
      <c r="D541" s="15"/>
      <c r="E541" s="16"/>
      <c r="F541" s="17" t="s">
        <v>552</v>
      </c>
      <c r="G541" s="14"/>
      <c r="H541" s="14"/>
      <c r="I541" s="4" t="str">
        <f t="shared" si="28"/>
        <v/>
      </c>
    </row>
    <row r="542" spans="2:9" ht="36" customHeight="1" outlineLevel="1" x14ac:dyDescent="0.35">
      <c r="B542" s="14" t="str">
        <f>IF(D542&lt;&gt;"",COUNTA(D$2:D542),"")</f>
        <v/>
      </c>
      <c r="C542" s="14">
        <f t="shared" si="27"/>
        <v>89</v>
      </c>
      <c r="D542" s="15"/>
      <c r="E542" s="16"/>
      <c r="F542" s="17" t="s">
        <v>553</v>
      </c>
      <c r="G542" s="14"/>
      <c r="H542" s="14"/>
      <c r="I542" s="4" t="str">
        <f t="shared" si="28"/>
        <v/>
      </c>
    </row>
    <row r="543" spans="2:9" ht="54" customHeight="1" outlineLevel="1" x14ac:dyDescent="0.35">
      <c r="B543" s="14" t="str">
        <f>IF(D543&lt;&gt;"",COUNTA(D$2:D543),"")</f>
        <v/>
      </c>
      <c r="C543" s="14">
        <f t="shared" si="27"/>
        <v>89</v>
      </c>
      <c r="D543" s="15"/>
      <c r="E543" s="16"/>
      <c r="F543" s="17" t="s">
        <v>554</v>
      </c>
      <c r="G543" s="14"/>
      <c r="H543" s="14"/>
      <c r="I543" s="4" t="str">
        <f t="shared" si="28"/>
        <v/>
      </c>
    </row>
    <row r="544" spans="2:9" outlineLevel="1" x14ac:dyDescent="0.35">
      <c r="B544" s="14">
        <f>IF(D544&lt;&gt;"",COUNTA(D$2:D544),"")</f>
        <v>90</v>
      </c>
      <c r="C544" s="14">
        <f t="shared" si="27"/>
        <v>90</v>
      </c>
      <c r="D544" s="15" t="s">
        <v>555</v>
      </c>
      <c r="E544" s="16" t="s">
        <v>117</v>
      </c>
      <c r="F544" s="17"/>
      <c r="G544" s="14" t="str">
        <f>IF(ISBLANK(F544),"B","")</f>
        <v>B</v>
      </c>
      <c r="H544" s="14" t="str">
        <f>IF(OR(I544="",I544=-1),"",IF(I544&lt;4,"Đơn giản",IF(I544&lt;8,"Trung bình","Phức tạp")))</f>
        <v>Phức tạp</v>
      </c>
      <c r="I544" s="4">
        <f t="shared" si="28"/>
        <v>8</v>
      </c>
    </row>
    <row r="545" spans="2:9" ht="36" customHeight="1" outlineLevel="1" x14ac:dyDescent="0.35">
      <c r="B545" s="14" t="str">
        <f>IF(D545&lt;&gt;"",COUNTA(D$2:D545),"")</f>
        <v/>
      </c>
      <c r="C545" s="14">
        <f t="shared" si="27"/>
        <v>90</v>
      </c>
      <c r="D545" s="15"/>
      <c r="E545" s="16"/>
      <c r="F545" s="17" t="s">
        <v>556</v>
      </c>
      <c r="G545" s="14"/>
      <c r="H545" s="14"/>
      <c r="I545" s="4" t="str">
        <f t="shared" si="28"/>
        <v/>
      </c>
    </row>
    <row r="546" spans="2:9" outlineLevel="1" x14ac:dyDescent="0.35">
      <c r="B546" s="14" t="str">
        <f>IF(D546&lt;&gt;"",COUNTA(D$2:D546),"")</f>
        <v/>
      </c>
      <c r="C546" s="14">
        <f t="shared" si="27"/>
        <v>90</v>
      </c>
      <c r="D546" s="15"/>
      <c r="E546" s="16"/>
      <c r="F546" s="17" t="s">
        <v>557</v>
      </c>
      <c r="G546" s="14"/>
      <c r="H546" s="14"/>
      <c r="I546" s="4" t="str">
        <f t="shared" si="28"/>
        <v/>
      </c>
    </row>
    <row r="547" spans="2:9" ht="36" customHeight="1" outlineLevel="1" x14ac:dyDescent="0.35">
      <c r="B547" s="14" t="str">
        <f>IF(D547&lt;&gt;"",COUNTA(D$2:D547),"")</f>
        <v/>
      </c>
      <c r="C547" s="14">
        <f t="shared" si="27"/>
        <v>90</v>
      </c>
      <c r="D547" s="15"/>
      <c r="E547" s="16"/>
      <c r="F547" s="17" t="s">
        <v>558</v>
      </c>
      <c r="G547" s="14"/>
      <c r="H547" s="14"/>
      <c r="I547" s="4" t="str">
        <f t="shared" si="28"/>
        <v/>
      </c>
    </row>
    <row r="548" spans="2:9" ht="36" customHeight="1" outlineLevel="1" x14ac:dyDescent="0.35">
      <c r="B548" s="14" t="str">
        <f>IF(D548&lt;&gt;"",COUNTA(D$2:D548),"")</f>
        <v/>
      </c>
      <c r="C548" s="14">
        <f t="shared" si="27"/>
        <v>90</v>
      </c>
      <c r="D548" s="15"/>
      <c r="E548" s="16"/>
      <c r="F548" s="17" t="s">
        <v>559</v>
      </c>
      <c r="G548" s="14"/>
      <c r="H548" s="14"/>
      <c r="I548" s="4" t="str">
        <f t="shared" si="28"/>
        <v/>
      </c>
    </row>
    <row r="549" spans="2:9" ht="36" customHeight="1" outlineLevel="1" x14ac:dyDescent="0.35">
      <c r="B549" s="14" t="str">
        <f>IF(D549&lt;&gt;"",COUNTA(D$2:D549),"")</f>
        <v/>
      </c>
      <c r="C549" s="14">
        <f t="shared" si="27"/>
        <v>90</v>
      </c>
      <c r="D549" s="15"/>
      <c r="E549" s="16"/>
      <c r="F549" s="17" t="s">
        <v>560</v>
      </c>
      <c r="G549" s="14"/>
      <c r="H549" s="14"/>
      <c r="I549" s="4" t="str">
        <f t="shared" si="28"/>
        <v/>
      </c>
    </row>
    <row r="550" spans="2:9" ht="36" customHeight="1" outlineLevel="1" x14ac:dyDescent="0.35">
      <c r="B550" s="14" t="str">
        <f>IF(D550&lt;&gt;"",COUNTA(D$2:D550),"")</f>
        <v/>
      </c>
      <c r="C550" s="14">
        <f t="shared" si="27"/>
        <v>90</v>
      </c>
      <c r="D550" s="15"/>
      <c r="E550" s="16"/>
      <c r="F550" s="17" t="s">
        <v>561</v>
      </c>
      <c r="G550" s="14"/>
      <c r="H550" s="14"/>
      <c r="I550" s="4" t="str">
        <f t="shared" si="28"/>
        <v/>
      </c>
    </row>
    <row r="551" spans="2:9" ht="54" customHeight="1" outlineLevel="1" x14ac:dyDescent="0.35">
      <c r="B551" s="14" t="str">
        <f>IF(D551&lt;&gt;"",COUNTA(D$2:D551),"")</f>
        <v/>
      </c>
      <c r="C551" s="14">
        <f t="shared" si="27"/>
        <v>90</v>
      </c>
      <c r="D551" s="15"/>
      <c r="E551" s="16"/>
      <c r="F551" s="17" t="s">
        <v>562</v>
      </c>
      <c r="G551" s="14"/>
      <c r="H551" s="14"/>
      <c r="I551" s="4" t="str">
        <f t="shared" si="28"/>
        <v/>
      </c>
    </row>
    <row r="552" spans="2:9" ht="36" customHeight="1" outlineLevel="1" x14ac:dyDescent="0.35">
      <c r="B552" s="14" t="str">
        <f>IF(D552&lt;&gt;"",COUNTA(D$2:D552),"")</f>
        <v/>
      </c>
      <c r="C552" s="14">
        <f t="shared" si="27"/>
        <v>90</v>
      </c>
      <c r="D552" s="15"/>
      <c r="E552" s="16"/>
      <c r="F552" s="17" t="s">
        <v>563</v>
      </c>
      <c r="G552" s="14"/>
      <c r="H552" s="14"/>
      <c r="I552" s="4" t="str">
        <f t="shared" si="28"/>
        <v/>
      </c>
    </row>
    <row r="553" spans="2:9" ht="36" customHeight="1" outlineLevel="1" x14ac:dyDescent="0.35">
      <c r="B553" s="14">
        <f>IF(D553&lt;&gt;"",COUNTA(D$2:D553),"")</f>
        <v>91</v>
      </c>
      <c r="C553" s="14">
        <f t="shared" si="27"/>
        <v>91</v>
      </c>
      <c r="D553" s="15" t="s">
        <v>564</v>
      </c>
      <c r="E553" s="16" t="s">
        <v>10</v>
      </c>
      <c r="F553" s="17"/>
      <c r="G553" s="14" t="str">
        <f>IF(ISBLANK(F553),"B","")</f>
        <v>B</v>
      </c>
      <c r="H553" s="14" t="str">
        <f>IF(OR(I553="",I553=-1),"",IF(I553&lt;4,"Đơn giản",IF(I553&lt;8,"Trung bình","Phức tạp")))</f>
        <v>Trung bình</v>
      </c>
      <c r="I553" s="4">
        <f t="shared" si="28"/>
        <v>4</v>
      </c>
    </row>
    <row r="554" spans="2:9" ht="36" customHeight="1" outlineLevel="1" x14ac:dyDescent="0.35">
      <c r="B554" s="14" t="str">
        <f>IF(D554&lt;&gt;"",COUNTA(D$2:D554),"")</f>
        <v/>
      </c>
      <c r="C554" s="14">
        <f t="shared" si="27"/>
        <v>91</v>
      </c>
      <c r="D554" s="15"/>
      <c r="E554" s="16"/>
      <c r="F554" s="17" t="s">
        <v>565</v>
      </c>
      <c r="G554" s="14"/>
      <c r="H554" s="14"/>
      <c r="I554" s="4" t="str">
        <f t="shared" si="28"/>
        <v/>
      </c>
    </row>
    <row r="555" spans="2:9" ht="36" customHeight="1" outlineLevel="1" x14ac:dyDescent="0.35">
      <c r="B555" s="14" t="str">
        <f>IF(D555&lt;&gt;"",COUNTA(D$2:D555),"")</f>
        <v/>
      </c>
      <c r="C555" s="14">
        <f t="shared" si="27"/>
        <v>91</v>
      </c>
      <c r="D555" s="15"/>
      <c r="E555" s="16"/>
      <c r="F555" s="17" t="s">
        <v>566</v>
      </c>
      <c r="G555" s="14"/>
      <c r="H555" s="14"/>
      <c r="I555" s="4" t="str">
        <f t="shared" si="28"/>
        <v/>
      </c>
    </row>
    <row r="556" spans="2:9" ht="54" customHeight="1" outlineLevel="1" x14ac:dyDescent="0.35">
      <c r="B556" s="14" t="str">
        <f>IF(D556&lt;&gt;"",COUNTA(D$2:D556),"")</f>
        <v/>
      </c>
      <c r="C556" s="14">
        <f t="shared" si="27"/>
        <v>91</v>
      </c>
      <c r="D556" s="15"/>
      <c r="E556" s="16"/>
      <c r="F556" s="17" t="s">
        <v>567</v>
      </c>
      <c r="G556" s="14"/>
      <c r="H556" s="14"/>
      <c r="I556" s="4" t="str">
        <f t="shared" si="28"/>
        <v/>
      </c>
    </row>
    <row r="557" spans="2:9" ht="54" customHeight="1" outlineLevel="1" x14ac:dyDescent="0.35">
      <c r="B557" s="14" t="str">
        <f>IF(D557&lt;&gt;"",COUNTA(D$2:D557),"")</f>
        <v/>
      </c>
      <c r="C557" s="14">
        <f t="shared" si="27"/>
        <v>91</v>
      </c>
      <c r="D557" s="15"/>
      <c r="E557" s="16"/>
      <c r="F557" s="17" t="s">
        <v>568</v>
      </c>
      <c r="G557" s="14"/>
      <c r="H557" s="14"/>
      <c r="I557" s="4" t="str">
        <f t="shared" si="28"/>
        <v/>
      </c>
    </row>
    <row r="558" spans="2:9" ht="36" customHeight="1" outlineLevel="1" x14ac:dyDescent="0.35">
      <c r="B558" s="14">
        <f>IF(D558&lt;&gt;"",COUNTA(D$2:D558),"")</f>
        <v>92</v>
      </c>
      <c r="C558" s="14">
        <f t="shared" si="27"/>
        <v>92</v>
      </c>
      <c r="D558" s="15" t="s">
        <v>569</v>
      </c>
      <c r="E558" s="16" t="s">
        <v>117</v>
      </c>
      <c r="F558" s="17"/>
      <c r="G558" s="14" t="str">
        <f>IF(ISBLANK(F558),"B","")</f>
        <v>B</v>
      </c>
      <c r="H558" s="14" t="str">
        <f>IF(OR(I558="",I558=-1),"",IF(I558&lt;4,"Đơn giản",IF(I558&lt;8,"Trung bình","Phức tạp")))</f>
        <v>Trung bình</v>
      </c>
      <c r="I558" s="4">
        <f t="shared" si="28"/>
        <v>6</v>
      </c>
    </row>
    <row r="559" spans="2:9" ht="36" customHeight="1" outlineLevel="1" x14ac:dyDescent="0.35">
      <c r="B559" s="14" t="str">
        <f>IF(D559&lt;&gt;"",COUNTA(D$2:D559),"")</f>
        <v/>
      </c>
      <c r="C559" s="14">
        <f t="shared" si="27"/>
        <v>92</v>
      </c>
      <c r="D559" s="15"/>
      <c r="E559" s="16"/>
      <c r="F559" s="17" t="s">
        <v>570</v>
      </c>
      <c r="G559" s="14"/>
      <c r="H559" s="14"/>
      <c r="I559" s="4" t="str">
        <f t="shared" si="28"/>
        <v/>
      </c>
    </row>
    <row r="560" spans="2:9" outlineLevel="1" x14ac:dyDescent="0.35">
      <c r="B560" s="14" t="str">
        <f>IF(D560&lt;&gt;"",COUNTA(D$2:D560),"")</f>
        <v/>
      </c>
      <c r="C560" s="14">
        <f t="shared" si="27"/>
        <v>92</v>
      </c>
      <c r="D560" s="15"/>
      <c r="E560" s="16"/>
      <c r="F560" s="17" t="s">
        <v>571</v>
      </c>
      <c r="G560" s="14"/>
      <c r="H560" s="14"/>
      <c r="I560" s="4" t="str">
        <f t="shared" si="28"/>
        <v/>
      </c>
    </row>
    <row r="561" spans="2:9" ht="36" customHeight="1" outlineLevel="1" x14ac:dyDescent="0.35">
      <c r="B561" s="14" t="str">
        <f>IF(D561&lt;&gt;"",COUNTA(D$2:D561),"")</f>
        <v/>
      </c>
      <c r="C561" s="14">
        <f t="shared" si="27"/>
        <v>92</v>
      </c>
      <c r="D561" s="15"/>
      <c r="E561" s="16"/>
      <c r="F561" s="17" t="s">
        <v>572</v>
      </c>
      <c r="G561" s="14"/>
      <c r="H561" s="14"/>
      <c r="I561" s="4" t="str">
        <f t="shared" si="28"/>
        <v/>
      </c>
    </row>
    <row r="562" spans="2:9" ht="36" customHeight="1" outlineLevel="1" x14ac:dyDescent="0.35">
      <c r="B562" s="14" t="str">
        <f>IF(D562&lt;&gt;"",COUNTA(D$2:D562),"")</f>
        <v/>
      </c>
      <c r="C562" s="14">
        <f t="shared" si="27"/>
        <v>92</v>
      </c>
      <c r="D562" s="15"/>
      <c r="E562" s="16"/>
      <c r="F562" s="17" t="s">
        <v>573</v>
      </c>
      <c r="G562" s="14"/>
      <c r="H562" s="14"/>
      <c r="I562" s="4" t="str">
        <f t="shared" si="28"/>
        <v/>
      </c>
    </row>
    <row r="563" spans="2:9" ht="36" customHeight="1" outlineLevel="1" x14ac:dyDescent="0.35">
      <c r="B563" s="14" t="str">
        <f>IF(D563&lt;&gt;"",COUNTA(D$2:D563),"")</f>
        <v/>
      </c>
      <c r="C563" s="14">
        <f t="shared" si="27"/>
        <v>92</v>
      </c>
      <c r="D563" s="15"/>
      <c r="E563" s="16"/>
      <c r="F563" s="17" t="s">
        <v>574</v>
      </c>
      <c r="G563" s="14"/>
      <c r="H563" s="14"/>
      <c r="I563" s="4" t="str">
        <f t="shared" si="28"/>
        <v/>
      </c>
    </row>
    <row r="564" spans="2:9" ht="36" customHeight="1" outlineLevel="1" x14ac:dyDescent="0.35">
      <c r="B564" s="14" t="str">
        <f>IF(D564&lt;&gt;"",COUNTA(D$2:D564),"")</f>
        <v/>
      </c>
      <c r="C564" s="14">
        <f t="shared" si="27"/>
        <v>92</v>
      </c>
      <c r="D564" s="15"/>
      <c r="E564" s="16"/>
      <c r="F564" s="17" t="s">
        <v>575</v>
      </c>
      <c r="G564" s="14"/>
      <c r="H564" s="14"/>
      <c r="I564" s="4" t="str">
        <f t="shared" si="28"/>
        <v/>
      </c>
    </row>
    <row r="565" spans="2:9" ht="36" customHeight="1" outlineLevel="1" x14ac:dyDescent="0.35">
      <c r="B565" s="14">
        <f>IF(D565&lt;&gt;"",COUNTA(D$2:D565),"")</f>
        <v>93</v>
      </c>
      <c r="C565" s="14">
        <f t="shared" si="27"/>
        <v>93</v>
      </c>
      <c r="D565" s="15" t="s">
        <v>576</v>
      </c>
      <c r="E565" s="16" t="s">
        <v>117</v>
      </c>
      <c r="F565" s="17"/>
      <c r="G565" s="14" t="str">
        <f>IF(ISBLANK(F565),"B","")</f>
        <v>B</v>
      </c>
      <c r="H565" s="14" t="str">
        <f>IF(OR(I565="",I565=-1),"",IF(I565&lt;4,"Đơn giản",IF(I565&lt;8,"Trung bình","Phức tạp")))</f>
        <v>Trung bình</v>
      </c>
      <c r="I565" s="4">
        <f t="shared" si="28"/>
        <v>6</v>
      </c>
    </row>
    <row r="566" spans="2:9" ht="36" customHeight="1" outlineLevel="1" x14ac:dyDescent="0.35">
      <c r="B566" s="14" t="str">
        <f>IF(D566&lt;&gt;"",COUNTA(D$2:D566),"")</f>
        <v/>
      </c>
      <c r="C566" s="14">
        <f t="shared" si="27"/>
        <v>93</v>
      </c>
      <c r="D566" s="15"/>
      <c r="E566" s="16"/>
      <c r="F566" s="17" t="s">
        <v>577</v>
      </c>
      <c r="G566" s="14"/>
      <c r="H566" s="14"/>
      <c r="I566" s="4" t="str">
        <f t="shared" si="28"/>
        <v/>
      </c>
    </row>
    <row r="567" spans="2:9" ht="36" customHeight="1" outlineLevel="1" x14ac:dyDescent="0.35">
      <c r="B567" s="14" t="str">
        <f>IF(D567&lt;&gt;"",COUNTA(D$2:D567),"")</f>
        <v/>
      </c>
      <c r="C567" s="14">
        <f t="shared" si="27"/>
        <v>93</v>
      </c>
      <c r="D567" s="15"/>
      <c r="E567" s="16"/>
      <c r="F567" s="17" t="s">
        <v>578</v>
      </c>
      <c r="G567" s="14"/>
      <c r="H567" s="14"/>
      <c r="I567" s="4" t="str">
        <f t="shared" si="28"/>
        <v/>
      </c>
    </row>
    <row r="568" spans="2:9" ht="36" customHeight="1" outlineLevel="1" x14ac:dyDescent="0.35">
      <c r="B568" s="14" t="str">
        <f>IF(D568&lt;&gt;"",COUNTA(D$2:D568),"")</f>
        <v/>
      </c>
      <c r="C568" s="14">
        <f t="shared" si="27"/>
        <v>93</v>
      </c>
      <c r="D568" s="15"/>
      <c r="E568" s="16"/>
      <c r="F568" s="17" t="s">
        <v>579</v>
      </c>
      <c r="G568" s="14"/>
      <c r="H568" s="14"/>
      <c r="I568" s="4" t="str">
        <f t="shared" si="28"/>
        <v/>
      </c>
    </row>
    <row r="569" spans="2:9" ht="36" customHeight="1" outlineLevel="1" x14ac:dyDescent="0.35">
      <c r="B569" s="14" t="str">
        <f>IF(D569&lt;&gt;"",COUNTA(D$2:D569),"")</f>
        <v/>
      </c>
      <c r="C569" s="14">
        <f t="shared" si="27"/>
        <v>93</v>
      </c>
      <c r="D569" s="15"/>
      <c r="E569" s="16"/>
      <c r="F569" s="17" t="s">
        <v>580</v>
      </c>
      <c r="G569" s="14"/>
      <c r="H569" s="14"/>
      <c r="I569" s="4" t="str">
        <f t="shared" si="28"/>
        <v/>
      </c>
    </row>
    <row r="570" spans="2:9" ht="36" customHeight="1" outlineLevel="1" x14ac:dyDescent="0.35">
      <c r="B570" s="14" t="str">
        <f>IF(D570&lt;&gt;"",COUNTA(D$2:D570),"")</f>
        <v/>
      </c>
      <c r="C570" s="14">
        <f t="shared" si="27"/>
        <v>93</v>
      </c>
      <c r="D570" s="15"/>
      <c r="E570" s="16"/>
      <c r="F570" s="17" t="s">
        <v>581</v>
      </c>
      <c r="G570" s="14"/>
      <c r="H570" s="14"/>
      <c r="I570" s="4" t="str">
        <f t="shared" si="28"/>
        <v/>
      </c>
    </row>
    <row r="571" spans="2:9" ht="36" customHeight="1" outlineLevel="1" x14ac:dyDescent="0.35">
      <c r="B571" s="14" t="str">
        <f>IF(D571&lt;&gt;"",COUNTA(D$2:D571),"")</f>
        <v/>
      </c>
      <c r="C571" s="14">
        <f t="shared" si="27"/>
        <v>93</v>
      </c>
      <c r="D571" s="15"/>
      <c r="E571" s="16"/>
      <c r="F571" s="17" t="s">
        <v>582</v>
      </c>
      <c r="G571" s="14"/>
      <c r="H571" s="14"/>
      <c r="I571" s="4" t="str">
        <f t="shared" si="28"/>
        <v/>
      </c>
    </row>
    <row r="572" spans="2:9" ht="36" customHeight="1" outlineLevel="1" x14ac:dyDescent="0.35">
      <c r="B572" s="14">
        <f>IF(D572&lt;&gt;"",COUNTA(D$2:D572),"")</f>
        <v>94</v>
      </c>
      <c r="C572" s="14">
        <f t="shared" si="27"/>
        <v>94</v>
      </c>
      <c r="D572" s="15" t="s">
        <v>583</v>
      </c>
      <c r="E572" s="16" t="s">
        <v>117</v>
      </c>
      <c r="F572" s="17"/>
      <c r="G572" s="14" t="str">
        <f>IF(ISBLANK(F572),"B","")</f>
        <v>B</v>
      </c>
      <c r="H572" s="14" t="str">
        <f>IF(OR(I572="",I572=-1),"",IF(I572&lt;4,"Đơn giản",IF(I572&lt;8,"Trung bình","Phức tạp")))</f>
        <v>Trung bình</v>
      </c>
      <c r="I572" s="4">
        <f t="shared" si="28"/>
        <v>5</v>
      </c>
    </row>
    <row r="573" spans="2:9" ht="54" customHeight="1" outlineLevel="1" x14ac:dyDescent="0.35">
      <c r="B573" s="14" t="str">
        <f>IF(D573&lt;&gt;"",COUNTA(D$2:D573),"")</f>
        <v/>
      </c>
      <c r="C573" s="14">
        <f t="shared" si="27"/>
        <v>94</v>
      </c>
      <c r="D573" s="15"/>
      <c r="E573" s="16"/>
      <c r="F573" s="17" t="s">
        <v>584</v>
      </c>
      <c r="G573" s="14"/>
      <c r="H573" s="14"/>
      <c r="I573" s="4" t="str">
        <f t="shared" si="28"/>
        <v/>
      </c>
    </row>
    <row r="574" spans="2:9" ht="54" customHeight="1" outlineLevel="1" x14ac:dyDescent="0.35">
      <c r="B574" s="14" t="str">
        <f>IF(D574&lt;&gt;"",COUNTA(D$2:D574),"")</f>
        <v/>
      </c>
      <c r="C574" s="14">
        <f t="shared" si="27"/>
        <v>94</v>
      </c>
      <c r="D574" s="15"/>
      <c r="E574" s="16"/>
      <c r="F574" s="17" t="s">
        <v>585</v>
      </c>
      <c r="G574" s="14"/>
      <c r="H574" s="14"/>
      <c r="I574" s="4" t="str">
        <f t="shared" si="28"/>
        <v/>
      </c>
    </row>
    <row r="575" spans="2:9" ht="36" customHeight="1" outlineLevel="1" x14ac:dyDescent="0.35">
      <c r="B575" s="14" t="str">
        <f>IF(D575&lt;&gt;"",COUNTA(D$2:D575),"")</f>
        <v/>
      </c>
      <c r="C575" s="14">
        <f t="shared" si="27"/>
        <v>94</v>
      </c>
      <c r="D575" s="15"/>
      <c r="E575" s="16"/>
      <c r="F575" s="17" t="s">
        <v>586</v>
      </c>
      <c r="G575" s="14"/>
      <c r="H575" s="14"/>
      <c r="I575" s="4" t="str">
        <f t="shared" si="28"/>
        <v/>
      </c>
    </row>
    <row r="576" spans="2:9" ht="54" customHeight="1" outlineLevel="1" x14ac:dyDescent="0.35">
      <c r="B576" s="14" t="str">
        <f>IF(D576&lt;&gt;"",COUNTA(D$2:D576),"")</f>
        <v/>
      </c>
      <c r="C576" s="14">
        <f t="shared" si="27"/>
        <v>94</v>
      </c>
      <c r="D576" s="15"/>
      <c r="E576" s="16"/>
      <c r="F576" s="17" t="s">
        <v>587</v>
      </c>
      <c r="G576" s="14"/>
      <c r="H576" s="14"/>
      <c r="I576" s="4" t="str">
        <f t="shared" si="28"/>
        <v/>
      </c>
    </row>
    <row r="577" spans="2:9" ht="36" customHeight="1" outlineLevel="1" x14ac:dyDescent="0.35">
      <c r="B577" s="14" t="str">
        <f>IF(D577&lt;&gt;"",COUNTA(D$2:D577),"")</f>
        <v/>
      </c>
      <c r="C577" s="14">
        <f t="shared" si="27"/>
        <v>94</v>
      </c>
      <c r="D577" s="15"/>
      <c r="E577" s="16"/>
      <c r="F577" s="17" t="s">
        <v>588</v>
      </c>
      <c r="G577" s="14"/>
      <c r="H577" s="14"/>
      <c r="I577" s="4" t="str">
        <f t="shared" si="28"/>
        <v/>
      </c>
    </row>
    <row r="578" spans="2:9" ht="36" customHeight="1" outlineLevel="1" x14ac:dyDescent="0.35">
      <c r="B578" s="14">
        <f>IF(D578&lt;&gt;"",COUNTA(D$2:D578),"")</f>
        <v>95</v>
      </c>
      <c r="C578" s="14">
        <f t="shared" si="27"/>
        <v>95</v>
      </c>
      <c r="D578" s="15" t="s">
        <v>589</v>
      </c>
      <c r="E578" s="16" t="s">
        <v>117</v>
      </c>
      <c r="F578" s="17"/>
      <c r="G578" s="14" t="str">
        <f>IF(ISBLANK(F578),"B","")</f>
        <v>B</v>
      </c>
      <c r="H578" s="14" t="str">
        <f>IF(OR(I578="",I578=-1),"",IF(I578&lt;4,"Đơn giản",IF(I578&lt;8,"Trung bình","Phức tạp")))</f>
        <v>Trung bình</v>
      </c>
      <c r="I578" s="4">
        <f t="shared" si="28"/>
        <v>5</v>
      </c>
    </row>
    <row r="579" spans="2:9" ht="36" customHeight="1" outlineLevel="1" x14ac:dyDescent="0.35">
      <c r="B579" s="14" t="str">
        <f>IF(D579&lt;&gt;"",COUNTA(D$2:D579),"")</f>
        <v/>
      </c>
      <c r="C579" s="14">
        <f t="shared" si="27"/>
        <v>95</v>
      </c>
      <c r="D579" s="15"/>
      <c r="E579" s="16"/>
      <c r="F579" s="17" t="s">
        <v>590</v>
      </c>
      <c r="G579" s="14"/>
      <c r="H579" s="14"/>
      <c r="I579" s="4" t="str">
        <f t="shared" si="28"/>
        <v/>
      </c>
    </row>
    <row r="580" spans="2:9" ht="36" customHeight="1" outlineLevel="1" x14ac:dyDescent="0.35">
      <c r="B580" s="14" t="str">
        <f>IF(D580&lt;&gt;"",COUNTA(D$2:D580),"")</f>
        <v/>
      </c>
      <c r="C580" s="14">
        <f t="shared" si="27"/>
        <v>95</v>
      </c>
      <c r="D580" s="15"/>
      <c r="E580" s="16"/>
      <c r="F580" s="17" t="s">
        <v>591</v>
      </c>
      <c r="G580" s="14"/>
      <c r="H580" s="14"/>
      <c r="I580" s="4" t="str">
        <f t="shared" si="28"/>
        <v/>
      </c>
    </row>
    <row r="581" spans="2:9" ht="54" customHeight="1" outlineLevel="1" x14ac:dyDescent="0.35">
      <c r="B581" s="14" t="str">
        <f>IF(D581&lt;&gt;"",COUNTA(D$2:D581),"")</f>
        <v/>
      </c>
      <c r="C581" s="14">
        <f t="shared" si="27"/>
        <v>95</v>
      </c>
      <c r="D581" s="15"/>
      <c r="E581" s="16"/>
      <c r="F581" s="17" t="s">
        <v>592</v>
      </c>
      <c r="G581" s="14"/>
      <c r="H581" s="14"/>
      <c r="I581" s="4" t="str">
        <f t="shared" si="28"/>
        <v/>
      </c>
    </row>
    <row r="582" spans="2:9" ht="36" customHeight="1" outlineLevel="1" x14ac:dyDescent="0.35">
      <c r="B582" s="14" t="str">
        <f>IF(D582&lt;&gt;"",COUNTA(D$2:D582),"")</f>
        <v/>
      </c>
      <c r="C582" s="14">
        <f t="shared" si="27"/>
        <v>95</v>
      </c>
      <c r="D582" s="15"/>
      <c r="E582" s="16"/>
      <c r="F582" s="17" t="s">
        <v>593</v>
      </c>
      <c r="G582" s="14"/>
      <c r="H582" s="14"/>
      <c r="I582" s="4" t="str">
        <f t="shared" si="28"/>
        <v/>
      </c>
    </row>
    <row r="583" spans="2:9" ht="36" customHeight="1" outlineLevel="1" x14ac:dyDescent="0.35">
      <c r="B583" s="14" t="str">
        <f>IF(D583&lt;&gt;"",COUNTA(D$2:D583),"")</f>
        <v/>
      </c>
      <c r="C583" s="14">
        <f t="shared" si="27"/>
        <v>95</v>
      </c>
      <c r="D583" s="15"/>
      <c r="E583" s="16"/>
      <c r="F583" s="17" t="s">
        <v>594</v>
      </c>
      <c r="G583" s="14"/>
      <c r="H583" s="14"/>
      <c r="I583" s="4" t="str">
        <f t="shared" si="28"/>
        <v/>
      </c>
    </row>
    <row r="584" spans="2:9" ht="36" customHeight="1" outlineLevel="1" x14ac:dyDescent="0.35">
      <c r="B584" s="14">
        <f>IF(D584&lt;&gt;"",COUNTA(D$2:D584),"")</f>
        <v>96</v>
      </c>
      <c r="C584" s="14">
        <f t="shared" si="27"/>
        <v>96</v>
      </c>
      <c r="D584" s="15" t="s">
        <v>595</v>
      </c>
      <c r="E584" s="16" t="s">
        <v>117</v>
      </c>
      <c r="F584" s="17"/>
      <c r="G584" s="14" t="str">
        <f>IF(ISBLANK(F584),"B","")</f>
        <v>B</v>
      </c>
      <c r="H584" s="14" t="str">
        <f>IF(OR(I584="",I584=-1),"",IF(I584&lt;4,"Đơn giản",IF(I584&lt;8,"Trung bình","Phức tạp")))</f>
        <v>Trung bình</v>
      </c>
      <c r="I584" s="4">
        <f t="shared" si="28"/>
        <v>7</v>
      </c>
    </row>
    <row r="585" spans="2:9" ht="36" customHeight="1" outlineLevel="1" x14ac:dyDescent="0.35">
      <c r="B585" s="14" t="str">
        <f>IF(D585&lt;&gt;"",COUNTA(D$2:D585),"")</f>
        <v/>
      </c>
      <c r="C585" s="14">
        <f t="shared" si="27"/>
        <v>96</v>
      </c>
      <c r="D585" s="15"/>
      <c r="E585" s="16"/>
      <c r="F585" s="17" t="s">
        <v>596</v>
      </c>
      <c r="G585" s="14"/>
      <c r="H585" s="14"/>
      <c r="I585" s="4" t="str">
        <f t="shared" si="28"/>
        <v/>
      </c>
    </row>
    <row r="586" spans="2:9" ht="36" customHeight="1" outlineLevel="1" x14ac:dyDescent="0.35">
      <c r="B586" s="14" t="str">
        <f>IF(D586&lt;&gt;"",COUNTA(D$2:D586),"")</f>
        <v/>
      </c>
      <c r="C586" s="14">
        <f t="shared" si="27"/>
        <v>96</v>
      </c>
      <c r="D586" s="15"/>
      <c r="E586" s="16"/>
      <c r="F586" s="17" t="s">
        <v>597</v>
      </c>
      <c r="G586" s="14"/>
      <c r="H586" s="14"/>
      <c r="I586" s="4" t="str">
        <f t="shared" si="28"/>
        <v/>
      </c>
    </row>
    <row r="587" spans="2:9" ht="36" customHeight="1" outlineLevel="1" x14ac:dyDescent="0.35">
      <c r="B587" s="14" t="str">
        <f>IF(D587&lt;&gt;"",COUNTA(D$2:D587),"")</f>
        <v/>
      </c>
      <c r="C587" s="14">
        <f t="shared" si="27"/>
        <v>96</v>
      </c>
      <c r="D587" s="15"/>
      <c r="E587" s="16"/>
      <c r="F587" s="17" t="s">
        <v>598</v>
      </c>
      <c r="G587" s="14"/>
      <c r="H587" s="14"/>
      <c r="I587" s="4" t="str">
        <f t="shared" si="28"/>
        <v/>
      </c>
    </row>
    <row r="588" spans="2:9" ht="54" customHeight="1" outlineLevel="1" x14ac:dyDescent="0.35">
      <c r="B588" s="14" t="str">
        <f>IF(D588&lt;&gt;"",COUNTA(D$2:D588),"")</f>
        <v/>
      </c>
      <c r="C588" s="14">
        <f t="shared" si="27"/>
        <v>96</v>
      </c>
      <c r="D588" s="15"/>
      <c r="E588" s="16"/>
      <c r="F588" s="17" t="s">
        <v>599</v>
      </c>
      <c r="G588" s="14"/>
      <c r="H588" s="14"/>
      <c r="I588" s="4" t="str">
        <f t="shared" si="28"/>
        <v/>
      </c>
    </row>
    <row r="589" spans="2:9" outlineLevel="1" x14ac:dyDescent="0.35">
      <c r="B589" s="14" t="str">
        <f>IF(D589&lt;&gt;"",COUNTA(D$2:D589),"")</f>
        <v/>
      </c>
      <c r="C589" s="14">
        <f t="shared" si="27"/>
        <v>96</v>
      </c>
      <c r="D589" s="15"/>
      <c r="E589" s="16"/>
      <c r="F589" s="17" t="s">
        <v>600</v>
      </c>
      <c r="G589" s="14"/>
      <c r="H589" s="14"/>
      <c r="I589" s="4" t="str">
        <f t="shared" si="28"/>
        <v/>
      </c>
    </row>
    <row r="590" spans="2:9" outlineLevel="1" x14ac:dyDescent="0.35">
      <c r="B590" s="14" t="str">
        <f>IF(D590&lt;&gt;"",COUNTA(D$2:D590),"")</f>
        <v/>
      </c>
      <c r="C590" s="14">
        <f t="shared" si="27"/>
        <v>96</v>
      </c>
      <c r="D590" s="15"/>
      <c r="E590" s="16"/>
      <c r="F590" s="17" t="s">
        <v>601</v>
      </c>
      <c r="G590" s="14"/>
      <c r="H590" s="14"/>
      <c r="I590" s="4" t="str">
        <f t="shared" si="28"/>
        <v/>
      </c>
    </row>
    <row r="591" spans="2:9" ht="36" customHeight="1" outlineLevel="1" x14ac:dyDescent="0.35">
      <c r="B591" s="14" t="str">
        <f>IF(D591&lt;&gt;"",COUNTA(D$2:D591),"")</f>
        <v/>
      </c>
      <c r="C591" s="14">
        <f t="shared" si="27"/>
        <v>96</v>
      </c>
      <c r="D591" s="15"/>
      <c r="E591" s="16"/>
      <c r="F591" s="17" t="s">
        <v>602</v>
      </c>
      <c r="G591" s="14"/>
      <c r="H591" s="14"/>
      <c r="I591" s="4" t="str">
        <f t="shared" si="28"/>
        <v/>
      </c>
    </row>
    <row r="592" spans="2:9" ht="36" customHeight="1" outlineLevel="1" x14ac:dyDescent="0.35">
      <c r="B592" s="14">
        <f>IF(D592&lt;&gt;"",COUNTA(D$2:D592),"")</f>
        <v>97</v>
      </c>
      <c r="C592" s="14">
        <f t="shared" si="27"/>
        <v>97</v>
      </c>
      <c r="D592" s="15" t="s">
        <v>603</v>
      </c>
      <c r="E592" s="16" t="s">
        <v>117</v>
      </c>
      <c r="F592" s="17"/>
      <c r="G592" s="14" t="str">
        <f>IF(ISBLANK(F592),"B","")</f>
        <v>B</v>
      </c>
      <c r="H592" s="14" t="str">
        <f>IF(OR(I592="",I592=-1),"",IF(I592&lt;4,"Đơn giản",IF(I592&lt;8,"Trung bình","Phức tạp")))</f>
        <v>Trung bình</v>
      </c>
      <c r="I592" s="4">
        <f t="shared" si="28"/>
        <v>7</v>
      </c>
    </row>
    <row r="593" spans="2:9" ht="36" customHeight="1" outlineLevel="1" x14ac:dyDescent="0.35">
      <c r="B593" s="14" t="str">
        <f>IF(D593&lt;&gt;"",COUNTA(D$2:D593),"")</f>
        <v/>
      </c>
      <c r="C593" s="14">
        <f t="shared" si="27"/>
        <v>97</v>
      </c>
      <c r="D593" s="15"/>
      <c r="E593" s="16"/>
      <c r="F593" s="17" t="s">
        <v>604</v>
      </c>
      <c r="G593" s="14"/>
      <c r="H593" s="14"/>
      <c r="I593" s="4" t="str">
        <f t="shared" si="28"/>
        <v/>
      </c>
    </row>
    <row r="594" spans="2:9" ht="36" customHeight="1" outlineLevel="1" x14ac:dyDescent="0.35">
      <c r="B594" s="14" t="str">
        <f>IF(D594&lt;&gt;"",COUNTA(D$2:D594),"")</f>
        <v/>
      </c>
      <c r="C594" s="14">
        <f t="shared" si="27"/>
        <v>97</v>
      </c>
      <c r="D594" s="15"/>
      <c r="E594" s="16"/>
      <c r="F594" s="17" t="s">
        <v>605</v>
      </c>
      <c r="G594" s="14"/>
      <c r="H594" s="14"/>
      <c r="I594" s="4" t="str">
        <f t="shared" si="28"/>
        <v/>
      </c>
    </row>
    <row r="595" spans="2:9" ht="36" customHeight="1" outlineLevel="1" x14ac:dyDescent="0.35">
      <c r="B595" s="14" t="str">
        <f>IF(D595&lt;&gt;"",COUNTA(D$2:D595),"")</f>
        <v/>
      </c>
      <c r="C595" s="14">
        <f t="shared" si="27"/>
        <v>97</v>
      </c>
      <c r="D595" s="15"/>
      <c r="E595" s="16"/>
      <c r="F595" s="17" t="s">
        <v>606</v>
      </c>
      <c r="G595" s="14"/>
      <c r="H595" s="14"/>
      <c r="I595" s="4" t="str">
        <f t="shared" si="28"/>
        <v/>
      </c>
    </row>
    <row r="596" spans="2:9" ht="54" customHeight="1" outlineLevel="1" x14ac:dyDescent="0.35">
      <c r="B596" s="14" t="str">
        <f>IF(D596&lt;&gt;"",COUNTA(D$2:D596),"")</f>
        <v/>
      </c>
      <c r="C596" s="14">
        <f t="shared" si="27"/>
        <v>97</v>
      </c>
      <c r="D596" s="15"/>
      <c r="E596" s="16"/>
      <c r="F596" s="17" t="s">
        <v>607</v>
      </c>
      <c r="G596" s="14"/>
      <c r="H596" s="14"/>
      <c r="I596" s="4" t="str">
        <f t="shared" si="28"/>
        <v/>
      </c>
    </row>
    <row r="597" spans="2:9" ht="36" customHeight="1" outlineLevel="1" x14ac:dyDescent="0.35">
      <c r="B597" s="14" t="str">
        <f>IF(D597&lt;&gt;"",COUNTA(D$2:D597),"")</f>
        <v/>
      </c>
      <c r="C597" s="14">
        <f t="shared" si="27"/>
        <v>97</v>
      </c>
      <c r="D597" s="15"/>
      <c r="E597" s="16"/>
      <c r="F597" s="17" t="s">
        <v>608</v>
      </c>
      <c r="G597" s="14"/>
      <c r="H597" s="14"/>
      <c r="I597" s="4" t="str">
        <f t="shared" si="28"/>
        <v/>
      </c>
    </row>
    <row r="598" spans="2:9" ht="54" customHeight="1" outlineLevel="1" x14ac:dyDescent="0.35">
      <c r="B598" s="14" t="str">
        <f>IF(D598&lt;&gt;"",COUNTA(D$2:D598),"")</f>
        <v/>
      </c>
      <c r="C598" s="14">
        <f t="shared" si="27"/>
        <v>97</v>
      </c>
      <c r="D598" s="15"/>
      <c r="E598" s="16"/>
      <c r="F598" s="17" t="s">
        <v>609</v>
      </c>
      <c r="G598" s="14"/>
      <c r="H598" s="14"/>
      <c r="I598" s="4" t="str">
        <f t="shared" si="28"/>
        <v/>
      </c>
    </row>
    <row r="599" spans="2:9" ht="36" customHeight="1" outlineLevel="1" x14ac:dyDescent="0.35">
      <c r="B599" s="14" t="str">
        <f>IF(D599&lt;&gt;"",COUNTA(D$2:D599),"")</f>
        <v/>
      </c>
      <c r="C599" s="14">
        <f t="shared" si="27"/>
        <v>97</v>
      </c>
      <c r="D599" s="15"/>
      <c r="E599" s="16"/>
      <c r="F599" s="17" t="s">
        <v>610</v>
      </c>
      <c r="G599" s="14"/>
      <c r="H599" s="14"/>
      <c r="I599" s="4" t="str">
        <f t="shared" si="28"/>
        <v/>
      </c>
    </row>
  </sheetData>
  <autoFilter ref="B1:J599" xr:uid="{00000000-0009-0000-0000-000002000000}"/>
  <mergeCells count="15">
    <mergeCell ref="B486:F486"/>
    <mergeCell ref="B507:F507"/>
    <mergeCell ref="B535:F535"/>
    <mergeCell ref="B37:F37"/>
    <mergeCell ref="B192:F192"/>
    <mergeCell ref="B310:F310"/>
    <mergeCell ref="B316:F316"/>
    <mergeCell ref="B338:F338"/>
    <mergeCell ref="B453:F453"/>
    <mergeCell ref="B2:F2"/>
    <mergeCell ref="B3:F3"/>
    <mergeCell ref="B4:F4"/>
    <mergeCell ref="B23:F23"/>
    <mergeCell ref="B31:F31"/>
    <mergeCell ref="B36:F36"/>
  </mergeCells>
  <conditionalFormatting sqref="D1 D653:D1048576">
    <cfRule type="duplicateValues" dxfId="121" priority="90"/>
    <cfRule type="duplicateValues" dxfId="118" priority="91"/>
    <cfRule type="duplicateValues" dxfId="120" priority="92"/>
    <cfRule type="duplicateValues" dxfId="119" priority="93"/>
  </conditionalFormatting>
  <conditionalFormatting sqref="D5:D15 D17:D19 D21:D22">
    <cfRule type="duplicateValues" dxfId="116" priority="109"/>
    <cfRule type="duplicateValues" dxfId="117" priority="110"/>
  </conditionalFormatting>
  <conditionalFormatting sqref="D16">
    <cfRule type="duplicateValues" dxfId="114" priority="34"/>
    <cfRule type="duplicateValues" dxfId="115" priority="35"/>
  </conditionalFormatting>
  <conditionalFormatting sqref="D20">
    <cfRule type="duplicateValues" dxfId="113" priority="36"/>
    <cfRule type="duplicateValues" dxfId="112" priority="37"/>
  </conditionalFormatting>
  <conditionalFormatting sqref="D24:D30">
    <cfRule type="duplicateValues" dxfId="110" priority="42"/>
    <cfRule type="duplicateValues" dxfId="111" priority="43"/>
  </conditionalFormatting>
  <conditionalFormatting sqref="D32:D35">
    <cfRule type="duplicateValues" dxfId="108" priority="107"/>
    <cfRule type="duplicateValues" dxfId="109" priority="108"/>
  </conditionalFormatting>
  <conditionalFormatting sqref="D38">
    <cfRule type="duplicateValues" dxfId="107" priority="50"/>
    <cfRule type="duplicateValues" dxfId="106" priority="51"/>
    <cfRule type="duplicateValues" dxfId="105" priority="52"/>
  </conditionalFormatting>
  <conditionalFormatting sqref="D45:D57">
    <cfRule type="duplicateValues" dxfId="102" priority="65"/>
    <cfRule type="duplicateValues" dxfId="104" priority="66"/>
    <cfRule type="duplicateValues" dxfId="103" priority="67"/>
  </conditionalFormatting>
  <conditionalFormatting sqref="D63:D67">
    <cfRule type="duplicateValues" dxfId="99" priority="100"/>
    <cfRule type="duplicateValues" dxfId="100" priority="101"/>
    <cfRule type="duplicateValues" dxfId="101" priority="102"/>
  </conditionalFormatting>
  <conditionalFormatting sqref="D68:D70 D72:D81">
    <cfRule type="duplicateValues" dxfId="96" priority="116"/>
    <cfRule type="duplicateValues" dxfId="97" priority="117"/>
    <cfRule type="duplicateValues" dxfId="98" priority="118"/>
  </conditionalFormatting>
  <conditionalFormatting sqref="D71">
    <cfRule type="duplicateValues" dxfId="93" priority="1"/>
    <cfRule type="duplicateValues" dxfId="95" priority="2"/>
    <cfRule type="duplicateValues" dxfId="94" priority="3"/>
  </conditionalFormatting>
  <conditionalFormatting sqref="D82:D112">
    <cfRule type="duplicateValues" dxfId="90" priority="97"/>
    <cfRule type="duplicateValues" dxfId="91" priority="98"/>
    <cfRule type="duplicateValues" dxfId="92" priority="99"/>
  </conditionalFormatting>
  <conditionalFormatting sqref="D113:D127">
    <cfRule type="duplicateValues" dxfId="87" priority="94"/>
    <cfRule type="duplicateValues" dxfId="88" priority="95"/>
    <cfRule type="duplicateValues" dxfId="89" priority="96"/>
  </conditionalFormatting>
  <conditionalFormatting sqref="D128:D191 D193 D195:D210">
    <cfRule type="duplicateValues" dxfId="86" priority="113"/>
    <cfRule type="duplicateValues" dxfId="85" priority="114"/>
    <cfRule type="duplicateValues" dxfId="84" priority="115"/>
  </conditionalFormatting>
  <conditionalFormatting sqref="D194">
    <cfRule type="duplicateValues" dxfId="83" priority="27"/>
    <cfRule type="duplicateValues" dxfId="81" priority="28"/>
    <cfRule type="duplicateValues" dxfId="82" priority="29"/>
  </conditionalFormatting>
  <conditionalFormatting sqref="D211:D215">
    <cfRule type="duplicateValues" dxfId="78" priority="24"/>
    <cfRule type="duplicateValues" dxfId="79" priority="25"/>
    <cfRule type="duplicateValues" dxfId="80" priority="26"/>
  </conditionalFormatting>
  <conditionalFormatting sqref="D216:D223">
    <cfRule type="duplicateValues" dxfId="76" priority="56"/>
    <cfRule type="duplicateValues" dxfId="75" priority="57"/>
    <cfRule type="duplicateValues" dxfId="77" priority="58"/>
  </conditionalFormatting>
  <conditionalFormatting sqref="D224">
    <cfRule type="duplicateValues" dxfId="74" priority="62"/>
    <cfRule type="duplicateValues" dxfId="72" priority="63"/>
    <cfRule type="duplicateValues" dxfId="73" priority="64"/>
  </conditionalFormatting>
  <conditionalFormatting sqref="D225:D226">
    <cfRule type="duplicateValues" dxfId="71" priority="59"/>
    <cfRule type="duplicateValues" dxfId="70" priority="60"/>
    <cfRule type="duplicateValues" dxfId="69" priority="61"/>
  </conditionalFormatting>
  <conditionalFormatting sqref="D227">
    <cfRule type="duplicateValues" dxfId="68" priority="44"/>
    <cfRule type="duplicateValues" dxfId="67" priority="45"/>
    <cfRule type="duplicateValues" dxfId="66" priority="46"/>
  </conditionalFormatting>
  <conditionalFormatting sqref="D228:D231">
    <cfRule type="duplicateValues" dxfId="63" priority="47"/>
    <cfRule type="duplicateValues" dxfId="65" priority="48"/>
    <cfRule type="duplicateValues" dxfId="64" priority="49"/>
  </conditionalFormatting>
  <conditionalFormatting sqref="D232">
    <cfRule type="duplicateValues" dxfId="60" priority="53"/>
    <cfRule type="duplicateValues" dxfId="61" priority="54"/>
    <cfRule type="duplicateValues" dxfId="62" priority="55"/>
  </conditionalFormatting>
  <conditionalFormatting sqref="D234:D292 D294:D308">
    <cfRule type="duplicateValues" dxfId="57" priority="119"/>
    <cfRule type="duplicateValues" dxfId="58" priority="120"/>
    <cfRule type="duplicateValues" dxfId="59" priority="121"/>
    <cfRule type="duplicateValues" dxfId="56" priority="122"/>
  </conditionalFormatting>
  <conditionalFormatting sqref="D293">
    <cfRule type="duplicateValues" dxfId="54" priority="38"/>
    <cfRule type="duplicateValues" dxfId="52" priority="39"/>
    <cfRule type="duplicateValues" dxfId="55" priority="40"/>
    <cfRule type="duplicateValues" dxfId="53" priority="41"/>
  </conditionalFormatting>
  <conditionalFormatting sqref="D309 D323:D337 D345:D351">
    <cfRule type="duplicateValues" dxfId="51" priority="30"/>
    <cfRule type="duplicateValues" dxfId="48" priority="31"/>
    <cfRule type="duplicateValues" dxfId="50" priority="32"/>
    <cfRule type="duplicateValues" dxfId="49" priority="33"/>
  </conditionalFormatting>
  <conditionalFormatting sqref="D311:D315">
    <cfRule type="duplicateValues" dxfId="44" priority="20"/>
    <cfRule type="duplicateValues" dxfId="46" priority="21"/>
    <cfRule type="duplicateValues" dxfId="47" priority="22"/>
    <cfRule type="duplicateValues" dxfId="45" priority="23"/>
  </conditionalFormatting>
  <conditionalFormatting sqref="D317:D322">
    <cfRule type="duplicateValues" dxfId="43" priority="16"/>
    <cfRule type="duplicateValues" dxfId="42" priority="17"/>
    <cfRule type="duplicateValues" dxfId="41" priority="18"/>
    <cfRule type="duplicateValues" dxfId="40" priority="19"/>
  </conditionalFormatting>
  <conditionalFormatting sqref="D339:D344">
    <cfRule type="duplicateValues" dxfId="36" priority="12"/>
    <cfRule type="duplicateValues" dxfId="37" priority="13"/>
    <cfRule type="duplicateValues" dxfId="38" priority="14"/>
    <cfRule type="duplicateValues" dxfId="39" priority="15"/>
  </conditionalFormatting>
  <conditionalFormatting sqref="D359:D374">
    <cfRule type="duplicateValues" dxfId="35" priority="103"/>
    <cfRule type="duplicateValues" dxfId="34" priority="104"/>
  </conditionalFormatting>
  <conditionalFormatting sqref="D381:D452 D466:D485 D487:D490 D495:D496 D498:D503">
    <cfRule type="duplicateValues" dxfId="32" priority="111"/>
    <cfRule type="duplicateValues" dxfId="33" priority="112"/>
  </conditionalFormatting>
  <conditionalFormatting sqref="D454:D465">
    <cfRule type="duplicateValues" dxfId="31" priority="10"/>
    <cfRule type="duplicateValues" dxfId="30" priority="11"/>
  </conditionalFormatting>
  <conditionalFormatting sqref="D491 D493:D494">
    <cfRule type="duplicateValues" dxfId="28" priority="8"/>
    <cfRule type="duplicateValues" dxfId="29" priority="9"/>
  </conditionalFormatting>
  <conditionalFormatting sqref="D505:D506">
    <cfRule type="duplicateValues" dxfId="26" priority="83"/>
    <cfRule type="duplicateValues" dxfId="25" priority="84"/>
    <cfRule type="duplicateValues" dxfId="27" priority="85"/>
  </conditionalFormatting>
  <conditionalFormatting sqref="D508:D511 D513">
    <cfRule type="duplicateValues" dxfId="24" priority="7"/>
  </conditionalFormatting>
  <conditionalFormatting sqref="D512">
    <cfRule type="duplicateValues" dxfId="22" priority="4"/>
    <cfRule type="duplicateValues" dxfId="21" priority="5"/>
    <cfRule type="duplicateValues" dxfId="23" priority="6"/>
  </conditionalFormatting>
  <conditionalFormatting sqref="D514:D516 D518:D529 D531:D534">
    <cfRule type="duplicateValues" dxfId="20" priority="89"/>
  </conditionalFormatting>
  <conditionalFormatting sqref="D517">
    <cfRule type="duplicateValues" dxfId="19" priority="68"/>
    <cfRule type="duplicateValues" dxfId="18" priority="69"/>
    <cfRule type="duplicateValues" dxfId="17" priority="70"/>
  </conditionalFormatting>
  <conditionalFormatting sqref="D522">
    <cfRule type="duplicateValues" dxfId="14" priority="86"/>
    <cfRule type="duplicateValues" dxfId="15" priority="87"/>
    <cfRule type="duplicateValues" dxfId="16" priority="88"/>
  </conditionalFormatting>
  <conditionalFormatting sqref="D523 D526:D528">
    <cfRule type="duplicateValues" dxfId="13" priority="80"/>
  </conditionalFormatting>
  <conditionalFormatting sqref="D524:D525">
    <cfRule type="duplicateValues" dxfId="11" priority="77"/>
    <cfRule type="duplicateValues" dxfId="12" priority="78"/>
    <cfRule type="duplicateValues" dxfId="10" priority="79"/>
  </conditionalFormatting>
  <conditionalFormatting sqref="D526:D528">
    <cfRule type="duplicateValues" dxfId="9" priority="81"/>
    <cfRule type="duplicateValues" dxfId="8" priority="82"/>
  </conditionalFormatting>
  <conditionalFormatting sqref="D529 D533:D534">
    <cfRule type="duplicateValues" dxfId="7" priority="74"/>
  </conditionalFormatting>
  <conditionalFormatting sqref="D531:D532">
    <cfRule type="duplicateValues" dxfId="6" priority="71"/>
    <cfRule type="duplicateValues" dxfId="5" priority="72"/>
    <cfRule type="duplicateValues" dxfId="4" priority="73"/>
  </conditionalFormatting>
  <conditionalFormatting sqref="D533:D534">
    <cfRule type="duplicateValues" dxfId="2" priority="75"/>
    <cfRule type="duplicateValues" dxfId="3" priority="76"/>
  </conditionalFormatting>
  <conditionalFormatting sqref="D587:D652">
    <cfRule type="duplicateValues" dxfId="0" priority="105"/>
    <cfRule type="duplicateValues" dxfId="1" priority="106"/>
  </conditionalFormatting>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1.Web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Hải Sơn</dc:creator>
  <cp:lastModifiedBy>Đỗ Hải Sơn</cp:lastModifiedBy>
  <dcterms:created xsi:type="dcterms:W3CDTF">2026-09-11T02:08:49Z</dcterms:created>
  <dcterms:modified xsi:type="dcterms:W3CDTF">2026-09-11T02:09:27Z</dcterms:modified>
</cp:coreProperties>
</file>